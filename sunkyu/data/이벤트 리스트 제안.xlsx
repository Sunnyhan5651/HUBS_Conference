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범례·요약" sheetId="1" state="visible" r:id="rId3"/>
    <sheet name="이벤트 리스트" sheetId="2" state="visible" r:id="rId4"/>
    <sheet name="변경 기록" sheetId="3" state="visible" r:id="rId5"/>
  </sheets>
  <definedNames>
    <definedName function="false" hidden="true" localSheetId="2" name="_xlnm._FilterDatabase" vbProcedure="false">'변경 기록'!$A$1:$K$1</definedName>
    <definedName function="false" hidden="true" localSheetId="1" name="_xlnm._FilterDatabase" vbProcedure="false">'이벤트 리스트'!$A$1:$Q$1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<sst xmlns="http://schemas.openxmlformats.org/spreadsheetml/2006/main" count="1430" uniqueCount="615">
  <si>
    <t xml:space="preserve">표본 구성</t>
  </si>
  <si>
    <t xml:space="preserve">표본</t>
  </si>
  <si>
    <t xml:space="preserve">정의</t>
  </si>
  <si>
    <t xml:space="preserve">이벤트 수</t>
  </si>
  <si>
    <t xml:space="preserve">Main</t>
  </si>
  <si>
    <r>
      <rPr>
        <sz val="10"/>
        <rFont val="Noto Sans CJK SC"/>
        <family val="2"/>
      </rPr>
      <t xml:space="preserve">미국 제도화 이벤트 중 서프라이즈가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공개일 반응을 이벤트 효과로 볼 수 있는 표본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 가설 검정용</t>
    </r>
  </si>
  <si>
    <t xml:space="preserve">Robust</t>
  </si>
  <si>
    <r>
      <rPr>
        <sz val="10"/>
        <rFont val="Noto Sans CJK SC"/>
        <family val="2"/>
      </rPr>
      <t xml:space="preserve">효과 분리가 어렵거나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매크로 일정 겹침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예견된 이벤트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비미국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그리고 제도 이외의 이벤트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신뢰충격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정책지원</t>
    </r>
    <r>
      <rPr>
        <sz val="10"/>
        <rFont val="Arial"/>
        <family val="0"/>
        <charset val="1"/>
      </rPr>
      <t xml:space="preserve">). Main </t>
    </r>
    <r>
      <rPr>
        <sz val="10"/>
        <rFont val="Noto Sans CJK SC"/>
        <family val="2"/>
      </rPr>
      <t xml:space="preserve">결과 재확인과 대조 분석용</t>
    </r>
  </si>
  <si>
    <t xml:space="preserve">합계</t>
  </si>
  <si>
    <t xml:space="preserve">카테고리별 개수</t>
  </si>
  <si>
    <t xml:space="preserve">카테고리</t>
  </si>
  <si>
    <t xml:space="preserve">입법</t>
  </si>
  <si>
    <r>
      <rPr>
        <sz val="10"/>
        <rFont val="Noto Sans CJK SC"/>
        <family val="2"/>
      </rPr>
      <t xml:space="preserve">의회의 법안 발의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위원회 표결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본회의 표결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대통령 서명 등 입법 절차의 한 단계</t>
    </r>
  </si>
  <si>
    <t xml:space="preserve">규제</t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</si>
  <si>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</t>
    </r>
  </si>
  <si>
    <t xml:space="preserve">사법</t>
  </si>
  <si>
    <t xml:space="preserve">법원 판결로 규제 적용 범위가 바뀐 경우</t>
  </si>
  <si>
    <t xml:space="preserve">채택</t>
  </si>
  <si>
    <r>
      <rPr>
        <sz val="10"/>
        <rFont val="Noto Sans CJK SC"/>
        <family val="2"/>
      </rPr>
      <t xml:space="preserve">민간 기업의 스테이블코인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토큰화 상품 출시나 도입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제도 자체의 변화는 아님</t>
    </r>
    <r>
      <rPr>
        <sz val="10"/>
        <rFont val="Arial"/>
        <family val="0"/>
        <charset val="1"/>
      </rPr>
      <t xml:space="preserve">)</t>
    </r>
  </si>
  <si>
    <t xml:space="preserve">기업</t>
  </si>
  <si>
    <r>
      <rPr>
        <sz val="10"/>
        <rFont val="Noto Sans CJK SC"/>
        <family val="2"/>
      </rPr>
      <t xml:space="preserve">특정 기업의 상장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신청 등 개별 기업 행위</t>
    </r>
  </si>
  <si>
    <t xml:space="preserve">신뢰충격</t>
  </si>
  <si>
    <r>
      <rPr>
        <sz val="10"/>
        <rFont val="Noto Sans CJK SC"/>
        <family val="2"/>
      </rPr>
      <t xml:space="preserve">발행사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거래소 부실이나 디페깅 같은 시장 내부의 신용 사건</t>
    </r>
  </si>
  <si>
    <t xml:space="preserve">정책지원</t>
  </si>
  <si>
    <r>
      <rPr>
        <sz val="10"/>
        <rFont val="Noto Sans CJK SC"/>
        <family val="2"/>
      </rPr>
      <t xml:space="preserve">금융안정을 위한 정부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중앙은행의 긴급 조치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</si>
  <si>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대시보드에 없던 카테고리로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법원 판결 이벤트</t>
    </r>
    <r>
      <rPr>
        <sz val="10"/>
        <rFont val="Arial"/>
        <family val="0"/>
        <charset val="1"/>
      </rPr>
      <t xml:space="preserve">(Ripple, Grayscale)</t>
    </r>
    <r>
      <rPr>
        <sz val="10"/>
        <rFont val="Noto Sans CJK SC"/>
        <family val="2"/>
      </rPr>
      <t xml:space="preserve">를 위해 새로 추가함</t>
    </r>
  </si>
  <si>
    <r>
      <rPr>
        <b val="true"/>
        <sz val="10"/>
        <rFont val="Noto Sans CJK SC"/>
        <family val="2"/>
      </rPr>
      <t xml:space="preserve">방향별 개수 </t>
    </r>
    <r>
      <rPr>
        <b val="true"/>
        <sz val="10"/>
        <rFont val="Arial"/>
        <family val="0"/>
        <charset val="1"/>
      </rPr>
      <t xml:space="preserve">(Main)</t>
    </r>
  </si>
  <si>
    <r>
      <rPr>
        <sz val="10"/>
        <rFont val="Noto Sans CJK SC"/>
        <family val="2"/>
      </rPr>
      <t xml:space="preserve">긍정 </t>
    </r>
    <r>
      <rPr>
        <sz val="10"/>
        <rFont val="Arial"/>
        <family val="0"/>
        <charset val="1"/>
      </rPr>
      <t xml:space="preserve">(+1)</t>
    </r>
  </si>
  <si>
    <r>
      <rPr>
        <sz val="10"/>
        <rFont val="Noto Sans CJK SC"/>
        <family val="2"/>
      </rPr>
      <t xml:space="preserve">중립 </t>
    </r>
    <r>
      <rPr>
        <sz val="10"/>
        <rFont val="Arial"/>
        <family val="0"/>
        <charset val="1"/>
      </rPr>
      <t xml:space="preserve">(0)</t>
    </r>
  </si>
  <si>
    <r>
      <rPr>
        <sz val="10"/>
        <rFont val="Noto Sans CJK SC"/>
        <family val="2"/>
      </rPr>
      <t xml:space="preserve">부정 </t>
    </r>
    <r>
      <rPr>
        <sz val="10"/>
        <rFont val="Arial"/>
        <family val="0"/>
        <charset val="1"/>
      </rPr>
      <t xml:space="preserve">(−1)</t>
    </r>
  </si>
  <si>
    <t xml:space="preserve">열 설명</t>
  </si>
  <si>
    <r>
      <rPr>
        <sz val="10"/>
        <rFont val="Noto Sans CJK SC"/>
        <family val="2"/>
      </rPr>
      <t xml:space="preserve">공개일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 동부</t>
    </r>
    <r>
      <rPr>
        <sz val="10"/>
        <rFont val="Arial"/>
        <family val="0"/>
        <charset val="1"/>
      </rPr>
      <t xml:space="preserve">)</t>
    </r>
  </si>
  <si>
    <t xml:space="preserve">이벤트가 처음 공개된 미국 동부 기준 날짜</t>
  </si>
  <si>
    <r>
      <rPr>
        <sz val="10"/>
        <rFont val="Noto Sans CJK SC"/>
        <family val="2"/>
      </rPr>
      <t xml:space="preserve">크립토 </t>
    </r>
    <r>
      <rPr>
        <sz val="10"/>
        <rFont val="Arial"/>
        <family val="0"/>
        <charset val="1"/>
      </rPr>
      <t xml:space="preserve">t0(UTC)</t>
    </r>
  </si>
  <si>
    <r>
      <rPr>
        <sz val="10"/>
        <rFont val="Noto Sans CJK SC"/>
        <family val="2"/>
      </rPr>
      <t xml:space="preserve">장 마감 후</t>
    </r>
    <r>
      <rPr>
        <sz val="10"/>
        <rFont val="Arial"/>
        <family val="0"/>
        <charset val="1"/>
      </rPr>
      <t xml:space="preserve">(16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ET </t>
    </r>
    <r>
      <rPr>
        <sz val="10"/>
        <rFont val="Noto Sans CJK SC"/>
        <family val="2"/>
      </rPr>
      <t xml:space="preserve">이후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공개된 이벤트는 다음 날로 설정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크립토는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거래라 정확한 시각을 확인하면 더 좋음</t>
    </r>
  </si>
  <si>
    <r>
      <rPr>
        <sz val="10"/>
        <rFont val="Noto Sans CJK SC"/>
        <family val="2"/>
      </rPr>
      <t xml:space="preserve">미국 주식 </t>
    </r>
    <r>
      <rPr>
        <sz val="10"/>
        <rFont val="Arial"/>
        <family val="0"/>
        <charset val="1"/>
      </rPr>
      <t xml:space="preserve">t0</t>
    </r>
  </si>
  <si>
    <r>
      <rPr>
        <sz val="10"/>
        <rFont val="Noto Sans CJK SC"/>
        <family val="2"/>
      </rPr>
      <t xml:space="preserve">장 마감 후 공개나 주말 공개는 다음 거래일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미국 공휴일은 반영 안 됨 → 확인 필요</t>
    </r>
  </si>
  <si>
    <r>
      <rPr>
        <sz val="10"/>
        <rFont val="Noto Sans CJK SC"/>
        <family val="2"/>
      </rPr>
      <t xml:space="preserve">한국 주식 </t>
    </r>
    <r>
      <rPr>
        <sz val="10"/>
        <rFont val="Arial"/>
        <family val="0"/>
        <charset val="1"/>
      </rPr>
      <t xml:space="preserve">t0</t>
    </r>
  </si>
  <si>
    <r>
      <rPr>
        <sz val="10"/>
        <rFont val="Noto Sans CJK SC"/>
        <family val="2"/>
      </rPr>
      <t xml:space="preserve">미국 이벤트는 한국 다음 영업일에 반영된다고 보고 계산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 공휴일은 반영 안 됨 → 확인 필요</t>
    </r>
  </si>
  <si>
    <t xml:space="preserve">예견도</t>
  </si>
  <si>
    <r>
      <rPr>
        <sz val="10"/>
        <rFont val="Noto Sans CJK SC"/>
        <family val="2"/>
      </rPr>
      <t xml:space="preserve">높음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일정이 미리 공개됨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표결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시행일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중간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사전 보도 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기습 발표</t>
    </r>
  </si>
  <si>
    <t xml:space="preserve">매크로 일정 겹침</t>
  </si>
  <si>
    <r>
      <rPr>
        <sz val="10"/>
        <rFont val="Noto Sans CJK SC"/>
        <family val="2"/>
      </rPr>
      <t xml:space="preserve">이벤트 전후 며칠 안에 있는 </t>
    </r>
    <r>
      <rPr>
        <sz val="10"/>
        <rFont val="Arial"/>
        <family val="0"/>
        <charset val="1"/>
      </rPr>
      <t xml:space="preserve">FOMC·CPI·</t>
    </r>
    <r>
      <rPr>
        <sz val="10"/>
        <rFont val="Noto Sans CJK SC"/>
        <family val="2"/>
      </rPr>
      <t xml:space="preserve">선거 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매크로 변수 반응을 해석할 때 반드시 참고</t>
    </r>
  </si>
  <si>
    <t xml:space="preserve">클러스터</t>
  </si>
  <si>
    <t xml:space="preserve">같은 코드끼리는 날짜가 붙어 있어 하나의 이벤트로 취급하거나 함께 해석</t>
  </si>
  <si>
    <t xml:space="preserve">출처</t>
  </si>
  <si>
    <r>
      <rPr>
        <sz val="10"/>
        <rFont val="Noto Sans CJK SC"/>
        <family val="2"/>
      </rPr>
      <t xml:space="preserve">빨간 글씨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출처 링크 추가 필요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는 공식 링크를 아직 확인하지 못한 행</t>
    </r>
  </si>
  <si>
    <t xml:space="preserve">데이터 기준</t>
  </si>
  <si>
    <r>
      <rPr>
        <sz val="10"/>
        <rFont val="Noto Sans CJK SC"/>
        <family val="2"/>
      </rPr>
      <t xml:space="preserve">대시보드 이벤트</t>
    </r>
    <r>
      <rPr>
        <sz val="10"/>
        <rFont val="Arial"/>
        <family val="0"/>
        <charset val="1"/>
      </rPr>
      <t xml:space="preserve">(E01~E41)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stablecoin_event_dashboard.html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. 2026</t>
    </r>
    <r>
      <rPr>
        <sz val="10"/>
        <rFont val="Noto Sans CJK SC"/>
        <family val="2"/>
      </rPr>
      <t xml:space="preserve">년 이벤트 날짜는 </t>
    </r>
    <r>
      <rPr>
        <sz val="10"/>
        <rFont val="Arial"/>
        <family val="0"/>
        <charset val="1"/>
      </rPr>
      <t xml:space="preserve">2026-10-12</t>
    </r>
    <r>
      <rPr>
        <sz val="10"/>
        <rFont val="Noto Sans CJK SC"/>
        <family val="2"/>
      </rPr>
      <t xml:space="preserve">에 웹 검색으로 확인</t>
    </r>
  </si>
  <si>
    <r>
      <rPr>
        <b val="true"/>
        <sz val="11"/>
        <color rgb="FFFFFFFF"/>
        <rFont val="Noto Sans CJK SC"/>
        <family val="2"/>
      </rPr>
      <t xml:space="preserve">이벤트 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</si>
  <si>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Noto Sans CJK SC"/>
        <family val="2"/>
      </rPr>
      <t xml:space="preserve">공개일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미 동부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</si>
  <si>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크립토 </t>
    </r>
    <r>
      <rPr>
        <b val="true"/>
        <sz val="11"/>
        <color rgb="FFFFFFFF"/>
        <rFont val="Arial"/>
        <family val="0"/>
        <charset val="1"/>
      </rPr>
      <t xml:space="preserve">t0(UTC)</t>
    </r>
  </si>
  <si>
    <r>
      <rPr>
        <b val="true"/>
        <sz val="11"/>
        <color rgb="FFFFFFFF"/>
        <rFont val="Noto Sans CJK SC"/>
        <family val="2"/>
      </rPr>
      <t xml:space="preserve">미국 주식 </t>
    </r>
    <r>
      <rPr>
        <b val="true"/>
        <sz val="11"/>
        <color rgb="FFFFFFFF"/>
        <rFont val="Arial"/>
        <family val="0"/>
        <charset val="1"/>
      </rPr>
      <t xml:space="preserve">t0</t>
    </r>
  </si>
  <si>
    <r>
      <rPr>
        <b val="true"/>
        <sz val="11"/>
        <color rgb="FFFFFFFF"/>
        <rFont val="Noto Sans CJK SC"/>
        <family val="2"/>
      </rPr>
      <t xml:space="preserve">한국 주식 </t>
    </r>
    <r>
      <rPr>
        <b val="true"/>
        <sz val="11"/>
        <color rgb="FFFFFFFF"/>
        <rFont val="Arial"/>
        <family val="0"/>
        <charset val="1"/>
      </rPr>
      <t xml:space="preserve">t0</t>
    </r>
  </si>
  <si>
    <t xml:space="preserve">이벤트</t>
  </si>
  <si>
    <t xml:space="preserve">카테고리 사유</t>
  </si>
  <si>
    <r>
      <rPr>
        <b val="true"/>
        <sz val="11"/>
        <color rgb="FFFFFFFF"/>
        <rFont val="Noto Sans CJK SC"/>
        <family val="2"/>
      </rPr>
      <t xml:space="preserve">방향</t>
    </r>
    <r>
      <rPr>
        <b val="true"/>
        <sz val="11"/>
        <color rgb="FFFFFFFF"/>
        <rFont val="Arial"/>
        <family val="0"/>
        <charset val="1"/>
      </rPr>
      <t xml:space="preserve">(+1/0/−1)</t>
    </r>
  </si>
  <si>
    <t xml:space="preserve">표본 사유</t>
  </si>
  <si>
    <r>
      <rPr>
        <b val="true"/>
        <sz val="11"/>
        <color rgb="FFFFFFFF"/>
        <rFont val="Noto Sans CJK SC"/>
        <family val="2"/>
      </rPr>
      <t xml:space="preserve">대시보드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</si>
  <si>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비고</t>
  </si>
  <si>
    <t xml:space="preserve">M01</t>
  </si>
  <si>
    <t xml:space="preserve">2019-04-25</t>
  </si>
  <si>
    <t xml:space="preserve">2019-04-26</t>
  </si>
  <si>
    <r>
      <rPr>
        <sz val="10"/>
        <rFont val="Noto Sans CJK SC"/>
        <family val="2"/>
      </rPr>
      <t xml:space="preserve">뉴욕 검찰</t>
    </r>
    <r>
      <rPr>
        <sz val="10"/>
        <rFont val="Arial"/>
        <family val="0"/>
        <charset val="1"/>
      </rPr>
      <t xml:space="preserve">, Bitfinex·Tether </t>
    </r>
    <r>
      <rPr>
        <sz val="10"/>
        <rFont val="Noto Sans CJK SC"/>
        <family val="2"/>
      </rPr>
      <t xml:space="preserve">자금 유용 소송 공개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</si>
  <si>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주 검찰의 집행 조치</t>
    </r>
  </si>
  <si>
    <t xml:space="preserve">낮음</t>
  </si>
  <si>
    <r>
      <rPr>
        <sz val="10"/>
        <rFont val="Noto Sans CJK SC"/>
        <family val="2"/>
      </rPr>
      <t xml:space="preserve">예고 없던 집행 조치라 서프라이즈가 분명하고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겹치는 매크로 일정이 없음</t>
    </r>
  </si>
  <si>
    <t xml:space="preserve">—</t>
  </si>
  <si>
    <t xml:space="preserve">E05</t>
  </si>
  <si>
    <r>
      <rPr>
        <sz val="10"/>
        <rFont val="Noto Sans CJK SC"/>
        <family val="2"/>
      </rPr>
      <t xml:space="preserve">장 마감 후 공개 → 미국 주식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4/26</t>
    </r>
  </si>
  <si>
    <t xml:space="preserve">https://ag.ny.gov/press-release/2019/attorney-general-james-announces-court-order-against-crypto-currency-company</t>
  </si>
  <si>
    <t xml:space="preserve">M02</t>
  </si>
  <si>
    <t xml:space="preserve">2020-09-21</t>
  </si>
  <si>
    <t xml:space="preserve">2020-09-22</t>
  </si>
  <si>
    <r>
      <rPr>
        <sz val="10"/>
        <rFont val="Arial"/>
        <family val="0"/>
        <charset val="1"/>
      </rPr>
      <t xml:space="preserve">OCC, </t>
    </r>
    <r>
      <rPr>
        <sz val="10"/>
        <rFont val="Noto Sans CJK SC"/>
        <family val="2"/>
      </rPr>
      <t xml:space="preserve">은행의 스테이블코인 준비금 보관 허용</t>
    </r>
    <r>
      <rPr>
        <sz val="10"/>
        <rFont val="Arial"/>
        <family val="0"/>
        <charset val="1"/>
      </rPr>
      <t xml:space="preserve">(IL 1172)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</si>
  <si>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연방 은행감독기관의 해석서</t>
    </r>
  </si>
  <si>
    <r>
      <rPr>
        <sz val="10"/>
        <rFont val="Noto Sans CJK SC"/>
        <family val="2"/>
      </rPr>
      <t xml:space="preserve">은행권의 스테이블코인 참여를 처음 허용한 해석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서프라이즈가 있고 겹치는 매크로 일정이 없음</t>
    </r>
  </si>
  <si>
    <t xml:space="preserve">E07</t>
  </si>
  <si>
    <t xml:space="preserve">https://www.occ.gov/news-issuances/news-releases/2020/nr-occ-2020-125.html</t>
  </si>
  <si>
    <t xml:space="preserve">M03</t>
  </si>
  <si>
    <t xml:space="preserve">2021-01-04</t>
  </si>
  <si>
    <t xml:space="preserve">2021-01-05</t>
  </si>
  <si>
    <r>
      <rPr>
        <sz val="10"/>
        <rFont val="Arial"/>
        <family val="0"/>
        <charset val="1"/>
      </rPr>
      <t xml:space="preserve">OCC, </t>
    </r>
    <r>
      <rPr>
        <sz val="10"/>
        <rFont val="Noto Sans CJK SC"/>
        <family val="2"/>
      </rPr>
      <t xml:space="preserve">은행의 스테이블코인 결제 활용 허용</t>
    </r>
    <r>
      <rPr>
        <sz val="10"/>
        <rFont val="Arial"/>
        <family val="0"/>
        <charset val="1"/>
      </rPr>
      <t xml:space="preserve">(IL 1174)</t>
    </r>
  </si>
  <si>
    <r>
      <rPr>
        <sz val="10"/>
        <rFont val="Noto Sans CJK SC"/>
        <family val="2"/>
      </rPr>
      <t xml:space="preserve">은행의 스테이블코인 결제망 활용을 허용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서프라이즈 있음</t>
    </r>
  </si>
  <si>
    <r>
      <rPr>
        <sz val="10"/>
        <rFont val="Noto Sans CJK SC"/>
        <family val="2"/>
      </rPr>
      <t xml:space="preserve">조지아 결선투표 </t>
    </r>
    <r>
      <rPr>
        <sz val="10"/>
        <rFont val="Arial"/>
        <family val="0"/>
        <charset val="1"/>
      </rPr>
      <t xml:space="preserve">1/5(T+1)</t>
    </r>
  </si>
  <si>
    <t xml:space="preserve">E08</t>
  </si>
  <si>
    <r>
      <rPr>
        <sz val="10"/>
        <rFont val="Arial"/>
        <family val="0"/>
        <charset val="1"/>
      </rPr>
      <t xml:space="preserve">BTC </t>
    </r>
    <r>
      <rPr>
        <sz val="10"/>
        <rFont val="Noto Sans CJK SC"/>
        <family val="2"/>
      </rPr>
      <t xml:space="preserve">강세장 한복판이라 비정상수익률 모형이 꼭 필요함</t>
    </r>
  </si>
  <si>
    <t xml:space="preserve">https://www.occ.gov/news-issuances/news-releases/2021/nr-occ-2021-2.html</t>
  </si>
  <si>
    <t xml:space="preserve">M04</t>
  </si>
  <si>
    <t xml:space="preserve">2021-10-15</t>
  </si>
  <si>
    <t xml:space="preserve">2021-10-18</t>
  </si>
  <si>
    <r>
      <rPr>
        <sz val="10"/>
        <rFont val="Arial"/>
        <family val="0"/>
        <charset val="1"/>
      </rPr>
      <t xml:space="preserve">SEC, 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BTC </t>
    </r>
    <r>
      <rPr>
        <sz val="10"/>
        <rFont val="Noto Sans CJK SC"/>
        <family val="2"/>
      </rPr>
      <t xml:space="preserve">선물 </t>
    </r>
    <r>
      <rPr>
        <sz val="10"/>
        <rFont val="Arial"/>
        <family val="0"/>
        <charset val="1"/>
      </rPr>
      <t xml:space="preserve">ETF(BITO) </t>
    </r>
    <r>
      <rPr>
        <sz val="10"/>
        <rFont val="Noto Sans CJK SC"/>
        <family val="2"/>
      </rPr>
      <t xml:space="preserve">허용 보도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</si>
  <si>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허용 결정</t>
    </r>
  </si>
  <si>
    <t xml:space="preserve">중간</t>
  </si>
  <si>
    <r>
      <rPr>
        <sz val="10"/>
        <rFont val="Noto Sans CJK SC"/>
        <family val="2"/>
      </rPr>
      <t xml:space="preserve">제도권 투자상품 접근을 처음 연 이벤트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날 </t>
    </r>
    <r>
      <rPr>
        <sz val="10"/>
        <rFont val="Arial"/>
        <family val="0"/>
        <charset val="1"/>
      </rPr>
      <t xml:space="preserve">CFTC Tether </t>
    </r>
    <r>
      <rPr>
        <sz val="10"/>
        <rFont val="Noto Sans CJK SC"/>
        <family val="2"/>
      </rPr>
      <t xml:space="preserve">제재</t>
    </r>
    <r>
      <rPr>
        <sz val="10"/>
        <rFont val="Arial"/>
        <family val="0"/>
        <charset val="1"/>
      </rPr>
      <t xml:space="preserve">(E11)</t>
    </r>
    <r>
      <rPr>
        <sz val="10"/>
        <rFont val="Noto Sans CJK SC"/>
        <family val="2"/>
      </rPr>
      <t xml:space="preserve">보다 시장 영향이 훨씬 커서 이 날짜는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이벤트로 코딩</t>
    </r>
  </si>
  <si>
    <t xml:space="preserve">C-2110</t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</si>
  <si>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(E11 </t>
    </r>
    <r>
      <rPr>
        <sz val="10"/>
        <rFont val="Noto Sans CJK SC"/>
        <family val="2"/>
      </rPr>
      <t xml:space="preserve">대체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</si>
  <si>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BTC +7.5%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뉴스에 대한 반응</t>
    </r>
  </si>
  <si>
    <t xml:space="preserve">출처 링크 추가 필요</t>
  </si>
  <si>
    <t xml:space="preserve">M05</t>
  </si>
  <si>
    <t xml:space="preserve">2023-02-13</t>
  </si>
  <si>
    <t xml:space="preserve">2023-02-14</t>
  </si>
  <si>
    <r>
      <rPr>
        <sz val="10"/>
        <rFont val="Arial"/>
        <family val="0"/>
        <charset val="1"/>
      </rPr>
      <t xml:space="preserve">Paxos, NYDFS </t>
    </r>
    <r>
      <rPr>
        <sz val="10"/>
        <rFont val="Noto Sans CJK SC"/>
        <family val="2"/>
      </rPr>
      <t xml:space="preserve">명령으로 </t>
    </r>
    <r>
      <rPr>
        <sz val="10"/>
        <rFont val="Arial"/>
        <family val="0"/>
        <charset val="1"/>
      </rPr>
      <t xml:space="preserve">BUSD </t>
    </r>
    <r>
      <rPr>
        <sz val="10"/>
        <rFont val="Noto Sans CJK SC"/>
        <family val="2"/>
      </rPr>
      <t xml:space="preserve">신규 발행 중단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</si>
  <si>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NYDFS</t>
    </r>
    <r>
      <rPr>
        <sz val="10"/>
        <rFont val="Noto Sans CJK SC"/>
        <family val="2"/>
      </rPr>
      <t xml:space="preserve">의 발행 중단 명령</t>
    </r>
  </si>
  <si>
    <t xml:space="preserve">스테이블코인 발행사에 대한 직접 규제 조치이고 서프라이즈가 큼</t>
  </si>
  <si>
    <t xml:space="preserve">CPI 2/14(T+1)</t>
  </si>
  <si>
    <t xml:space="preserve">E15</t>
  </si>
  <si>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웰스노티스 보도는 </t>
    </r>
    <r>
      <rPr>
        <sz val="10"/>
        <rFont val="Arial"/>
        <family val="0"/>
        <charset val="1"/>
      </rPr>
      <t xml:space="preserve">2/12(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크립토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2/12</t>
    </r>
    <r>
      <rPr>
        <sz val="10"/>
        <rFont val="Noto Sans CJK SC"/>
        <family val="2"/>
      </rPr>
      <t xml:space="preserve">로 둔 민감도 분석 권장</t>
    </r>
  </si>
  <si>
    <t xml:space="preserve">https://www.paxos.com/newsroom/paxos-will-halt-minting-new-busd-tokens</t>
  </si>
  <si>
    <t xml:space="preserve">M06</t>
  </si>
  <si>
    <t xml:space="preserve">2023-06-05</t>
  </si>
  <si>
    <t xml:space="preserve">2023-06-06</t>
  </si>
  <si>
    <r>
      <rPr>
        <sz val="10"/>
        <rFont val="Arial"/>
        <family val="0"/>
        <charset val="1"/>
      </rPr>
      <t xml:space="preserve">SEC, Binance(6/5)·Coinbase(6/6) </t>
    </r>
    <r>
      <rPr>
        <sz val="10"/>
        <rFont val="Noto Sans CJK SC"/>
        <family val="2"/>
      </rPr>
      <t xml:space="preserve">제소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</si>
  <si>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</t>
    </r>
    <r>
      <rPr>
        <sz val="10"/>
        <rFont val="Noto Sans CJK SC"/>
        <family val="2"/>
      </rPr>
      <t xml:space="preserve">의 집행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소송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조치</t>
    </r>
  </si>
  <si>
    <r>
      <rPr>
        <sz val="10"/>
        <rFont val="Noto Sans CJK SC"/>
        <family val="2"/>
      </rPr>
      <t xml:space="preserve">미국 최대 거래소들에 대한 집행 조치라 서프라이즈가 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제도 후퇴 이벤트 표본을 보강함</t>
    </r>
  </si>
  <si>
    <r>
      <rPr>
        <sz val="10"/>
        <rFont val="Arial"/>
        <family val="0"/>
        <charset val="1"/>
      </rPr>
      <t xml:space="preserve">CPI 6/13·FOMC 6/14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[0,+5]</t>
    </r>
    <r>
      <rPr>
        <sz val="10"/>
        <rFont val="Noto Sans CJK SC"/>
        <family val="2"/>
      </rPr>
      <t xml:space="preserve">에 걸림</t>
    </r>
  </si>
  <si>
    <t xml:space="preserve">C-2306a</t>
  </si>
  <si>
    <t xml:space="preserve">신규</t>
  </si>
  <si>
    <r>
      <rPr>
        <sz val="10"/>
        <rFont val="Noto Sans CJK SC"/>
        <family val="2"/>
      </rPr>
      <t xml:space="preserve">이틀 연속이라 하나의 클러스터로 처리</t>
    </r>
    <r>
      <rPr>
        <sz val="10"/>
        <rFont val="Arial"/>
        <family val="0"/>
        <charset val="1"/>
      </rPr>
      <t xml:space="preserve">, [−1,+2]</t>
    </r>
    <r>
      <rPr>
        <sz val="10"/>
        <rFont val="Noto Sans CJK SC"/>
        <family val="2"/>
      </rPr>
      <t xml:space="preserve">까지만 사용 권장</t>
    </r>
  </si>
  <si>
    <t xml:space="preserve">https://www.sec.gov/newsroom/press-releases/2023-101</t>
  </si>
  <si>
    <t xml:space="preserve">M07</t>
  </si>
  <si>
    <t xml:space="preserve">2023-06-15</t>
  </si>
  <si>
    <t xml:space="preserve">2023-06-16</t>
  </si>
  <si>
    <r>
      <rPr>
        <sz val="10"/>
        <rFont val="Arial"/>
        <family val="0"/>
        <charset val="1"/>
      </rPr>
      <t xml:space="preserve">BlackRock, </t>
    </r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BTC ETF </t>
    </r>
    <r>
      <rPr>
        <sz val="10"/>
        <rFont val="Noto Sans CJK SC"/>
        <family val="2"/>
      </rPr>
      <t xml:space="preserve">신청</t>
    </r>
  </si>
  <si>
    <r>
      <rPr>
        <sz val="10"/>
        <rFont val="Noto Sans CJK SC"/>
        <family val="2"/>
      </rPr>
      <t xml:space="preserve">특정 기업의 상장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신청 등 개별 기업 행위 — 규제기관 결정이 아니라 운용사의 신청서 제출</t>
    </r>
  </si>
  <si>
    <r>
      <rPr>
        <sz val="10"/>
        <rFont val="Noto Sans CJK SC"/>
        <family val="2"/>
      </rPr>
      <t xml:space="preserve">기업 행위지만 제도권 편입 기대를 급격히 바꾼 서프라이즈라 </t>
    </r>
    <r>
      <rPr>
        <sz val="10"/>
        <rFont val="Arial"/>
        <family val="0"/>
        <charset val="1"/>
      </rPr>
      <t xml:space="preserve">Main</t>
    </r>
    <r>
      <rPr>
        <sz val="10"/>
        <rFont val="Noto Sans CJK SC"/>
        <family val="2"/>
      </rPr>
      <t xml:space="preserve">에 포함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승인</t>
    </r>
    <r>
      <rPr>
        <sz val="10"/>
        <rFont val="Arial"/>
        <family val="0"/>
        <charset val="1"/>
      </rPr>
      <t xml:space="preserve">(2024-01-10)</t>
    </r>
    <r>
      <rPr>
        <sz val="10"/>
        <rFont val="Noto Sans CJK SC"/>
        <family val="2"/>
      </rPr>
      <t xml:space="preserve">과는 별개 이벤트</t>
    </r>
  </si>
  <si>
    <t xml:space="preserve">FOMC 6/14(T−1)</t>
  </si>
  <si>
    <t xml:space="preserve">C-2306b</t>
  </si>
  <si>
    <t xml:space="preserve">M08</t>
  </si>
  <si>
    <t xml:space="preserve">2023-07-13</t>
  </si>
  <si>
    <t xml:space="preserve">2023-07-14</t>
  </si>
  <si>
    <r>
      <rPr>
        <sz val="10"/>
        <rFont val="Arial"/>
        <family val="0"/>
        <charset val="1"/>
      </rPr>
      <t xml:space="preserve">SEC v. Ripple 1</t>
    </r>
    <r>
      <rPr>
        <sz val="10"/>
        <rFont val="Noto Sans CJK SC"/>
        <family val="2"/>
      </rPr>
      <t xml:space="preserve">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거래소 판매분은 증권 아님 판결</t>
    </r>
  </si>
  <si>
    <t xml:space="preserve">법원 판결로 규제 적용 범위가 바뀐 경우 — 연방법원 판결</t>
  </si>
  <si>
    <t xml:space="preserve">증권성 판단이라는 규제 범위를 법원이 바꾼 서프라이즈 이벤트</t>
  </si>
  <si>
    <t xml:space="preserve">CPI 7/12(T−1)</t>
  </si>
  <si>
    <t xml:space="preserve">M09</t>
  </si>
  <si>
    <t xml:space="preserve">2023-08-29</t>
  </si>
  <si>
    <t xml:space="preserve">2023-08-30</t>
  </si>
  <si>
    <r>
      <rPr>
        <sz val="10"/>
        <rFont val="Arial"/>
        <family val="0"/>
        <charset val="1"/>
      </rPr>
      <t xml:space="preserve">Grayscale, SEC </t>
    </r>
    <r>
      <rPr>
        <sz val="10"/>
        <rFont val="Noto Sans CJK SC"/>
        <family val="2"/>
      </rPr>
      <t xml:space="preserve">상대 항소심 승소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거부 위법</t>
    </r>
    <r>
      <rPr>
        <sz val="10"/>
        <rFont val="Arial"/>
        <family val="0"/>
        <charset val="1"/>
      </rPr>
      <t xml:space="preserve">)</t>
    </r>
  </si>
  <si>
    <t xml:space="preserve">법원 판결로 규제 적용 범위가 바뀐 경우 — 연방항소법원 판결</t>
  </si>
  <si>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승인의 길을 연 판결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매크로 오염이 가장 적은 깨끗한 표본</t>
    </r>
  </si>
  <si>
    <t xml:space="preserve">M10</t>
  </si>
  <si>
    <t xml:space="preserve">2024-01-10</t>
  </si>
  <si>
    <t xml:space="preserve">2024-01-11</t>
  </si>
  <si>
    <r>
      <rPr>
        <sz val="10"/>
        <rFont val="Arial"/>
        <family val="0"/>
        <charset val="1"/>
      </rPr>
      <t xml:space="preserve">SEC, </t>
    </r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BTC ETF 11</t>
    </r>
    <r>
      <rPr>
        <sz val="10"/>
        <rFont val="Noto Sans CJK SC"/>
        <family val="2"/>
      </rPr>
      <t xml:space="preserve">종 승인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</si>
  <si>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승인</t>
    </r>
  </si>
  <si>
    <t xml:space="preserve">높음</t>
  </si>
  <si>
    <r>
      <rPr>
        <sz val="10"/>
        <rFont val="Noto Sans CJK SC"/>
        <family val="2"/>
      </rPr>
      <t xml:space="preserve">미국 크립토 제도화의 대표 이벤트라 빼면 안 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예견도가 높아 사전 반영</t>
    </r>
    <r>
      <rPr>
        <sz val="10"/>
        <rFont val="Arial"/>
        <family val="0"/>
        <charset val="1"/>
      </rPr>
      <t xml:space="preserve">(drift) </t>
    </r>
    <r>
      <rPr>
        <sz val="10"/>
        <rFont val="Noto Sans CJK SC"/>
        <family val="2"/>
      </rPr>
      <t xml:space="preserve">분석이 핵심</t>
    </r>
  </si>
  <si>
    <r>
      <rPr>
        <sz val="10"/>
        <rFont val="Arial"/>
        <family val="0"/>
        <charset val="1"/>
      </rPr>
      <t xml:space="preserve">CPI 1/11 = </t>
    </r>
    <r>
      <rPr>
        <sz val="10"/>
        <rFont val="Noto Sans CJK SC"/>
        <family val="2"/>
      </rPr>
      <t xml:space="preserve">미국 주식 </t>
    </r>
    <r>
      <rPr>
        <sz val="10"/>
        <rFont val="Arial"/>
        <family val="0"/>
        <charset val="1"/>
      </rPr>
      <t xml:space="preserve">t0 </t>
    </r>
    <r>
      <rPr>
        <sz val="10"/>
        <rFont val="Noto Sans CJK SC"/>
        <family val="2"/>
      </rPr>
      <t xml:space="preserve">당일</t>
    </r>
  </si>
  <si>
    <r>
      <rPr>
        <sz val="10"/>
        <rFont val="Noto Sans CJK SC"/>
        <family val="2"/>
      </rPr>
      <t xml:space="preserve">장 마감 후 승인</t>
    </r>
    <r>
      <rPr>
        <sz val="10"/>
        <rFont val="Arial"/>
        <family val="0"/>
        <charset val="1"/>
      </rPr>
      <t xml:space="preserve">. 1/9 SEC </t>
    </r>
    <r>
      <rPr>
        <sz val="10"/>
        <rFont val="Noto Sans CJK SC"/>
        <family val="2"/>
      </rPr>
      <t xml:space="preserve">계정 해킹으로 허위 승인 트윗 → </t>
    </r>
    <r>
      <rPr>
        <sz val="10"/>
        <rFont val="Arial"/>
        <family val="0"/>
        <charset val="1"/>
      </rPr>
      <t xml:space="preserve">[−1] </t>
    </r>
    <r>
      <rPr>
        <sz val="10"/>
        <rFont val="Noto Sans CJK SC"/>
        <family val="2"/>
      </rPr>
      <t xml:space="preserve">구간 해석 주의</t>
    </r>
  </si>
  <si>
    <t xml:space="preserve">https://www.sec.gov/newsroom/speeches-statements/gensler-statement-spot-bitcoin-011023</t>
  </si>
  <si>
    <t xml:space="preserve">M11</t>
  </si>
  <si>
    <t xml:space="preserve">2024-05-20</t>
  </si>
  <si>
    <t xml:space="preserve">2024-05-21</t>
  </si>
  <si>
    <r>
      <rPr>
        <sz val="10"/>
        <rFont val="Arial"/>
        <family val="0"/>
        <charset val="1"/>
      </rPr>
      <t xml:space="preserve">ETH </t>
    </r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승인 확률 급등</t>
    </r>
    <r>
      <rPr>
        <sz val="10"/>
        <rFont val="Arial"/>
        <family val="0"/>
        <charset val="1"/>
      </rPr>
      <t xml:space="preserve">(5/23 19b-4 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</si>
  <si>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ETH </t>
    </r>
    <r>
      <rPr>
        <sz val="10"/>
        <rFont val="Noto Sans CJK SC"/>
        <family val="2"/>
      </rPr>
      <t xml:space="preserve">제도화의 대표 이벤트</t>
    </r>
    <r>
      <rPr>
        <sz val="10"/>
        <rFont val="Arial"/>
        <family val="0"/>
        <charset val="1"/>
      </rPr>
      <t xml:space="preserve">. 5/20 SEC </t>
    </r>
    <r>
      <rPr>
        <sz val="10"/>
        <rFont val="Noto Sans CJK SC"/>
        <family val="2"/>
      </rPr>
      <t xml:space="preserve">태도 변화 보도가 실제 서프라이즈였음</t>
    </r>
  </si>
  <si>
    <r>
      <rPr>
        <sz val="10"/>
        <rFont val="Arial"/>
        <family val="0"/>
        <charset val="1"/>
      </rPr>
      <t xml:space="preserve">FIT21 </t>
    </r>
    <r>
      <rPr>
        <sz val="10"/>
        <rFont val="Noto Sans CJK SC"/>
        <family val="2"/>
      </rPr>
      <t xml:space="preserve">하원 통과 </t>
    </r>
    <r>
      <rPr>
        <sz val="10"/>
        <rFont val="Arial"/>
        <family val="0"/>
        <charset val="1"/>
      </rPr>
      <t xml:space="preserve">5/22</t>
    </r>
  </si>
  <si>
    <t xml:space="preserve">C-2405</t>
  </si>
  <si>
    <r>
      <rPr>
        <sz val="10"/>
        <rFont val="Noto Sans CJK SC"/>
        <family val="2"/>
      </rPr>
      <t xml:space="preserve">공식 승인은 </t>
    </r>
    <r>
      <rPr>
        <sz val="10"/>
        <rFont val="Arial"/>
        <family val="0"/>
        <charset val="1"/>
      </rPr>
      <t xml:space="preserve">5/23(</t>
    </r>
    <r>
      <rPr>
        <sz val="10"/>
        <rFont val="Noto Sans CJK SC"/>
        <family val="2"/>
      </rPr>
      <t xml:space="preserve">장 마감 후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둘 다 기록하고 </t>
    </r>
    <r>
      <rPr>
        <sz val="10"/>
        <rFont val="Arial"/>
        <family val="0"/>
        <charset val="1"/>
      </rPr>
      <t xml:space="preserve">5/20</t>
    </r>
    <r>
      <rPr>
        <sz val="10"/>
        <rFont val="Noto Sans CJK SC"/>
        <family val="2"/>
      </rPr>
      <t xml:space="preserve">을 메인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로</t>
    </r>
  </si>
  <si>
    <t xml:space="preserve">https://www.sec.gov/files/rules/sro/nysearca/2024/34-100224.pdf</t>
  </si>
  <si>
    <t xml:space="preserve">M12</t>
  </si>
  <si>
    <t xml:space="preserve">2025-01-23</t>
  </si>
  <si>
    <t xml:space="preserve">2025-01-24</t>
  </si>
  <si>
    <r>
      <rPr>
        <sz val="10"/>
        <rFont val="Arial"/>
        <family val="0"/>
        <charset val="1"/>
      </rPr>
      <t xml:space="preserve">SEC SAB 122(SAB 121 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디지털자산 행정명령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</si>
  <si>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회계지침 폐지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대통령 행정명령</t>
    </r>
  </si>
  <si>
    <r>
      <rPr>
        <sz val="10"/>
        <rFont val="Noto Sans CJK SC"/>
        <family val="2"/>
      </rPr>
      <t xml:space="preserve">은행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기업의 가상자산 수탁 회계 부담을 없앤 조치라 기업 대응전략과 직접 연결됨</t>
    </r>
  </si>
  <si>
    <t xml:space="preserve">https://www.sec.gov/rules-regulations/staff-guidance/staff-accounting-bulletins/staff-accounting-bulletin-122</t>
  </si>
  <si>
    <t xml:space="preserve">M13</t>
  </si>
  <si>
    <t xml:space="preserve">2025-02-04</t>
  </si>
  <si>
    <t xml:space="preserve">2025-02-05</t>
  </si>
  <si>
    <r>
      <rPr>
        <sz val="10"/>
        <rFont val="Arial"/>
        <family val="0"/>
        <charset val="1"/>
      </rPr>
      <t xml:space="preserve">GENIUS Act </t>
    </r>
    <r>
      <rPr>
        <sz val="10"/>
        <rFont val="Noto Sans CJK SC"/>
        <family val="2"/>
      </rPr>
      <t xml:space="preserve">상원 발의</t>
    </r>
  </si>
  <si>
    <t xml:space="preserve">스테이블코인 법안이 공식 절차에 들어간 첫 단계</t>
  </si>
  <si>
    <r>
      <rPr>
        <sz val="10"/>
        <rFont val="Noto Sans CJK SC"/>
        <family val="2"/>
      </rPr>
      <t xml:space="preserve">관세 발표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유예</t>
    </r>
    <r>
      <rPr>
        <sz val="10"/>
        <rFont val="Arial"/>
        <family val="0"/>
        <charset val="1"/>
      </rPr>
      <t xml:space="preserve">(2/1~2/3)</t>
    </r>
  </si>
  <si>
    <t xml:space="preserve">E23</t>
  </si>
  <si>
    <t xml:space="preserve">https://www.banking.senate.gov/newsroom/majority/scott-colleagues-pave-the-way-for-historic-digital-asset-legislation</t>
  </si>
  <si>
    <t xml:space="preserve">M14</t>
  </si>
  <si>
    <t xml:space="preserve">2025-03-06</t>
  </si>
  <si>
    <t xml:space="preserve">2025-03-07</t>
  </si>
  <si>
    <r>
      <rPr>
        <sz val="10"/>
        <rFont val="Noto Sans CJK SC"/>
        <family val="2"/>
      </rPr>
      <t xml:space="preserve">전략적 비트코인 비축 행정명령</t>
    </r>
    <r>
      <rPr>
        <sz val="10"/>
        <rFont val="Arial"/>
        <family val="0"/>
        <charset val="1"/>
      </rPr>
      <t xml:space="preserve">(+3/7 OCC IL 1183·</t>
    </r>
    <r>
      <rPr>
        <sz val="10"/>
        <rFont val="Noto Sans CJK SC"/>
        <family val="2"/>
      </rPr>
      <t xml:space="preserve">백악관 서밋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</si>
  <si>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대통령 행정명령 </t>
    </r>
    <r>
      <rPr>
        <sz val="10"/>
        <rFont val="Arial"/>
        <family val="0"/>
        <charset val="1"/>
      </rPr>
      <t xml:space="preserve">+ OCC </t>
    </r>
    <r>
      <rPr>
        <sz val="10"/>
        <rFont val="Noto Sans CJK SC"/>
        <family val="2"/>
      </rPr>
      <t xml:space="preserve">해석서</t>
    </r>
  </si>
  <si>
    <r>
      <rPr>
        <sz val="10"/>
        <rFont val="Noto Sans CJK SC"/>
        <family val="2"/>
      </rPr>
      <t xml:space="preserve">국가 차원의 </t>
    </r>
    <r>
      <rPr>
        <sz val="10"/>
        <rFont val="Arial"/>
        <family val="0"/>
        <charset val="1"/>
      </rPr>
      <t xml:space="preserve">BTC </t>
    </r>
    <r>
      <rPr>
        <sz val="10"/>
        <rFont val="Noto Sans CJK SC"/>
        <family val="2"/>
      </rPr>
      <t xml:space="preserve">보유를 공식화한 이벤트</t>
    </r>
  </si>
  <si>
    <r>
      <rPr>
        <sz val="10"/>
        <rFont val="Noto Sans CJK SC"/>
        <family val="2"/>
      </rPr>
      <t xml:space="preserve">관세 </t>
    </r>
    <r>
      <rPr>
        <sz val="10"/>
        <rFont val="Arial"/>
        <family val="0"/>
        <charset val="1"/>
      </rPr>
      <t xml:space="preserve">3/4</t>
    </r>
  </si>
  <si>
    <t xml:space="preserve">C-2503</t>
  </si>
  <si>
    <r>
      <rPr>
        <sz val="10"/>
        <rFont val="Arial"/>
        <family val="0"/>
        <charset val="1"/>
      </rPr>
      <t xml:space="preserve">3/2(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트럼프 </t>
    </r>
    <r>
      <rPr>
        <sz val="10"/>
        <rFont val="Arial"/>
        <family val="0"/>
        <charset val="1"/>
      </rPr>
      <t xml:space="preserve">SNS </t>
    </r>
    <r>
      <rPr>
        <sz val="10"/>
        <rFont val="Noto Sans CJK SC"/>
        <family val="2"/>
      </rPr>
      <t xml:space="preserve">비축 언급이 실제 서프라이즈 → </t>
    </r>
    <r>
      <rPr>
        <sz val="10"/>
        <rFont val="Arial"/>
        <family val="0"/>
        <charset val="1"/>
      </rPr>
      <t xml:space="preserve">3/2</t>
    </r>
    <r>
      <rPr>
        <sz val="10"/>
        <rFont val="Noto Sans CJK SC"/>
        <family val="2"/>
      </rPr>
      <t xml:space="preserve">를 별도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로 민감도 분석</t>
    </r>
  </si>
  <si>
    <t xml:space="preserve">https://www.whitehouse.gov/presidential-actions/2025/03/establishment-of-the-strategic-bitcoin-reserve-and-united-states-digital-asset-stockpile/</t>
  </si>
  <si>
    <t xml:space="preserve">M15</t>
  </si>
  <si>
    <t xml:space="preserve">2025-03-13</t>
  </si>
  <si>
    <t xml:space="preserve">2025-03-14</t>
  </si>
  <si>
    <r>
      <rPr>
        <sz val="10"/>
        <rFont val="Arial"/>
        <family val="0"/>
        <charset val="1"/>
      </rPr>
      <t xml:space="preserve">GENIUS Act </t>
    </r>
    <r>
      <rPr>
        <sz val="10"/>
        <rFont val="Noto Sans CJK SC"/>
        <family val="2"/>
      </rPr>
      <t xml:space="preserve">상원 은행위 통과</t>
    </r>
    <r>
      <rPr>
        <sz val="10"/>
        <rFont val="Arial"/>
        <family val="0"/>
        <charset val="1"/>
      </rPr>
      <t xml:space="preserve">(18-6)</t>
    </r>
  </si>
  <si>
    <t xml:space="preserve">초당적 표차로 통과 가능성을 높인 단계</t>
  </si>
  <si>
    <t xml:space="preserve">CPI 3/12(T−1)</t>
  </si>
  <si>
    <t xml:space="preserve">E24</t>
  </si>
  <si>
    <t xml:space="preserve">https://www.banking.senate.gov/newsroom/majority/scott-advances-stablecoin-debanking-legislation-out-of-banking-committee</t>
  </si>
  <si>
    <t xml:space="preserve">M16</t>
  </si>
  <si>
    <t xml:space="preserve">2025-05-08</t>
  </si>
  <si>
    <t xml:space="preserve">2025-05-09</t>
  </si>
  <si>
    <r>
      <rPr>
        <sz val="10"/>
        <rFont val="Arial"/>
        <family val="0"/>
        <charset val="1"/>
      </rPr>
      <t xml:space="preserve">GENIUS Act </t>
    </r>
    <r>
      <rPr>
        <sz val="10"/>
        <rFont val="Noto Sans CJK SC"/>
        <family val="2"/>
      </rPr>
      <t xml:space="preserve">상원 절차표결 부결</t>
    </r>
  </si>
  <si>
    <t xml:space="preserve">제도 후퇴 표본이 적어서 오염이 있어도 포함</t>
  </si>
  <si>
    <r>
      <rPr>
        <sz val="10"/>
        <rFont val="Arial"/>
        <family val="0"/>
        <charset val="1"/>
      </rPr>
      <t xml:space="preserve">FOMC 5/7(T−1), </t>
    </r>
    <r>
      <rPr>
        <sz val="10"/>
        <rFont val="Noto Sans CJK SC"/>
        <family val="2"/>
      </rPr>
      <t xml:space="preserve">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 무역합의 </t>
    </r>
    <r>
      <rPr>
        <sz val="10"/>
        <rFont val="Arial"/>
        <family val="0"/>
        <charset val="1"/>
      </rPr>
      <t xml:space="preserve">5/8</t>
    </r>
  </si>
  <si>
    <t xml:space="preserve">E25</t>
  </si>
  <si>
    <r>
      <rPr>
        <sz val="10"/>
        <rFont val="Noto Sans CJK SC"/>
        <family val="2"/>
      </rPr>
      <t xml:space="preserve">부정 이벤트인데 </t>
    </r>
    <r>
      <rPr>
        <sz val="10"/>
        <rFont val="Arial"/>
        <family val="0"/>
        <charset val="1"/>
      </rPr>
      <t xml:space="preserve">BTC +6.4%. </t>
    </r>
    <r>
      <rPr>
        <sz val="10"/>
        <rFont val="Noto Sans CJK SC"/>
        <family val="2"/>
      </rPr>
      <t xml:space="preserve">결과 해석 시 오염을 반드시 따로 언급</t>
    </r>
  </si>
  <si>
    <t xml:space="preserve">https://www.senate.gov/legislative/LIS/roll_call_votes/vote1191/vote_119_1_00240.htm</t>
  </si>
  <si>
    <t xml:space="preserve">M17</t>
  </si>
  <si>
    <t xml:space="preserve">2025-06-10</t>
  </si>
  <si>
    <t xml:space="preserve">2025-06-11</t>
  </si>
  <si>
    <r>
      <rPr>
        <sz val="10"/>
        <rFont val="Arial"/>
        <family val="0"/>
        <charset val="1"/>
      </rPr>
      <t xml:space="preserve">CLARITY Act </t>
    </r>
    <r>
      <rPr>
        <sz val="10"/>
        <rFont val="Noto Sans CJK SC"/>
        <family val="2"/>
      </rPr>
      <t xml:space="preserve">하원 금융서비스위 통과</t>
    </r>
  </si>
  <si>
    <t xml:space="preserve">시장구조 법안의 첫 위원회 통과</t>
  </si>
  <si>
    <t xml:space="preserve">CPI 6/11(T+1)</t>
  </si>
  <si>
    <t xml:space="preserve">E29</t>
  </si>
  <si>
    <t xml:space="preserve">https://docs.house.gov/Committee/Calendar/ByEvent.aspx?EventID=118373</t>
  </si>
  <si>
    <t xml:space="preserve">M18</t>
  </si>
  <si>
    <t xml:space="preserve">2025-06-17</t>
  </si>
  <si>
    <t xml:space="preserve">2025-06-18</t>
  </si>
  <si>
    <r>
      <rPr>
        <sz val="10"/>
        <rFont val="Arial"/>
        <family val="0"/>
        <charset val="1"/>
      </rPr>
      <t xml:space="preserve">GENIUS Act </t>
    </r>
    <r>
      <rPr>
        <sz val="10"/>
        <rFont val="Noto Sans CJK SC"/>
        <family val="2"/>
      </rPr>
      <t xml:space="preserve">상원 본회의 통과</t>
    </r>
    <r>
      <rPr>
        <sz val="10"/>
        <rFont val="Arial"/>
        <family val="0"/>
        <charset val="1"/>
      </rPr>
      <t xml:space="preserve">(68-30)</t>
    </r>
  </si>
  <si>
    <t xml:space="preserve">스테이블코인 법의 핵심 관문이라 제외할 수 없음</t>
  </si>
  <si>
    <r>
      <rPr>
        <sz val="10"/>
        <rFont val="Arial"/>
        <family val="0"/>
        <charset val="1"/>
      </rPr>
      <t xml:space="preserve">FOMC 6/18 = </t>
    </r>
    <r>
      <rPr>
        <sz val="10"/>
        <rFont val="Noto Sans CJK SC"/>
        <family val="2"/>
      </rPr>
      <t xml:space="preserve">미국 주식 </t>
    </r>
    <r>
      <rPr>
        <sz val="10"/>
        <rFont val="Arial"/>
        <family val="0"/>
        <charset val="1"/>
      </rPr>
      <t xml:space="preserve">t0 </t>
    </r>
    <r>
      <rPr>
        <sz val="10"/>
        <rFont val="Noto Sans CJK SC"/>
        <family val="2"/>
      </rPr>
      <t xml:space="preserve">당일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이스라엘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이란 충돌</t>
    </r>
  </si>
  <si>
    <t xml:space="preserve">E30</t>
  </si>
  <si>
    <r>
      <rPr>
        <sz val="10"/>
        <rFont val="Noto Sans CJK SC"/>
        <family val="2"/>
      </rPr>
      <t xml:space="preserve">매크로 변수 반응은 </t>
    </r>
    <r>
      <rPr>
        <sz val="10"/>
        <rFont val="Arial"/>
        <family val="0"/>
        <charset val="1"/>
      </rPr>
      <t xml:space="preserve">FOMC</t>
    </r>
    <r>
      <rPr>
        <sz val="10"/>
        <rFont val="Noto Sans CJK SC"/>
        <family val="2"/>
      </rPr>
      <t xml:space="preserve">와 분리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크립토 </t>
    </r>
    <r>
      <rPr>
        <sz val="10"/>
        <rFont val="Arial"/>
        <family val="0"/>
        <charset val="1"/>
      </rPr>
      <t xml:space="preserve">[−1,0]</t>
    </r>
    <r>
      <rPr>
        <sz val="10"/>
        <rFont val="Noto Sans CJK SC"/>
        <family val="2"/>
      </rPr>
      <t xml:space="preserve">만 사용 권장</t>
    </r>
  </si>
  <si>
    <t xml:space="preserve">https://www.booker.senate.gov/news/press/booker-statement-on-passage-of-genius-act</t>
  </si>
  <si>
    <t xml:space="preserve">M19</t>
  </si>
  <si>
    <t xml:space="preserve">2025-07-17</t>
  </si>
  <si>
    <t xml:space="preserve">2025-07-18</t>
  </si>
  <si>
    <r>
      <rPr>
        <sz val="10"/>
        <rFont val="Arial"/>
        <family val="0"/>
        <charset val="1"/>
      </rPr>
      <t xml:space="preserve">GENIUS·CLARITY </t>
    </r>
    <r>
      <rPr>
        <sz val="10"/>
        <rFont val="Noto Sans CJK SC"/>
        <family val="2"/>
      </rPr>
      <t xml:space="preserve">하원 통과 → </t>
    </r>
    <r>
      <rPr>
        <sz val="10"/>
        <rFont val="Arial"/>
        <family val="0"/>
        <charset val="1"/>
      </rPr>
      <t xml:space="preserve">7/18 </t>
    </r>
    <r>
      <rPr>
        <sz val="10"/>
        <rFont val="Noto Sans CJK SC"/>
        <family val="2"/>
      </rPr>
      <t xml:space="preserve">대통령 서명</t>
    </r>
  </si>
  <si>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법률 제정 완료 시점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하루 간격이라 두 이벤트를 병합</t>
    </r>
  </si>
  <si>
    <t xml:space="preserve">CPI 7/15(T−2)</t>
  </si>
  <si>
    <t xml:space="preserve">C-2507</t>
  </si>
  <si>
    <t xml:space="preserve">E31+E32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</si>
  <si>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크립토 위크</t>
    </r>
    <r>
      <rPr>
        <sz val="10"/>
        <rFont val="Arial"/>
        <family val="0"/>
        <charset val="1"/>
      </rPr>
      <t xml:space="preserve">'(7/14~) </t>
    </r>
    <r>
      <rPr>
        <sz val="10"/>
        <rFont val="Noto Sans CJK SC"/>
        <family val="2"/>
      </rPr>
      <t xml:space="preserve">전체가 사전 반영 구간</t>
    </r>
  </si>
  <si>
    <t xml:space="preserve">https://www.whitehouse.gov/fact-sheets/2025/07/fact-sheet-president-donald-j-trump-signs-genius-act-into-law/</t>
  </si>
  <si>
    <t xml:space="preserve">M20</t>
  </si>
  <si>
    <t xml:space="preserve">2026-01-14</t>
  </si>
  <si>
    <t xml:space="preserve">2026-01-15</t>
  </si>
  <si>
    <r>
      <rPr>
        <sz val="10"/>
        <rFont val="Arial"/>
        <family val="0"/>
        <charset val="1"/>
      </rPr>
      <t xml:space="preserve">CLARITY Act </t>
    </r>
    <r>
      <rPr>
        <sz val="10"/>
        <rFont val="Noto Sans CJK SC"/>
        <family val="2"/>
      </rPr>
      <t xml:space="preserve">상원 은행위 마크업 연기</t>
    </r>
    <r>
      <rPr>
        <sz val="10"/>
        <rFont val="Arial"/>
        <family val="0"/>
        <charset val="1"/>
      </rPr>
      <t xml:space="preserve">(Coinbase </t>
    </r>
    <r>
      <rPr>
        <sz val="10"/>
        <rFont val="Noto Sans CJK SC"/>
        <family val="2"/>
      </rPr>
      <t xml:space="preserve">지지 철회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</si>
  <si>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예고 없던 입법 차질이라 서프라이즈 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제도 후퇴 표본</t>
    </r>
  </si>
  <si>
    <t xml:space="preserve">CPI 1/13(T−1)</t>
  </si>
  <si>
    <t xml:space="preserve">E34</t>
  </si>
  <si>
    <t xml:space="preserve">https://www.banking.senate.gov/newsroom/majority/scott-statement-on-market-structure-markup</t>
  </si>
  <si>
    <t xml:space="preserve">M21</t>
  </si>
  <si>
    <t xml:space="preserve">2026-05-14</t>
  </si>
  <si>
    <t xml:space="preserve">2026-05-15</t>
  </si>
  <si>
    <r>
      <rPr>
        <sz val="10"/>
        <rFont val="Arial"/>
        <family val="0"/>
        <charset val="1"/>
      </rPr>
      <t xml:space="preserve">CLARITY Act </t>
    </r>
    <r>
      <rPr>
        <sz val="10"/>
        <rFont val="Noto Sans CJK SC"/>
        <family val="2"/>
      </rPr>
      <t xml:space="preserve">상원 은행위 통과</t>
    </r>
    <r>
      <rPr>
        <sz val="10"/>
        <rFont val="Arial"/>
        <family val="0"/>
        <charset val="1"/>
      </rPr>
      <t xml:space="preserve">(15-9)</t>
    </r>
  </si>
  <si>
    <r>
      <rPr>
        <sz val="10"/>
        <rFont val="Noto Sans CJK SC"/>
        <family val="2"/>
      </rPr>
      <t xml:space="preserve">시장구조 법안의 상원 첫 관문</t>
    </r>
    <r>
      <rPr>
        <sz val="10"/>
        <rFont val="Arial"/>
        <family val="0"/>
        <charset val="1"/>
      </rPr>
      <t xml:space="preserve">. 5/12 </t>
    </r>
    <r>
      <rPr>
        <sz val="10"/>
        <rFont val="Noto Sans CJK SC"/>
        <family val="2"/>
      </rPr>
      <t xml:space="preserve">법안 공개는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발표일과 겹쳐 병합</t>
    </r>
  </si>
  <si>
    <t xml:space="preserve">CPI 5/12(T−2)</t>
  </si>
  <si>
    <t xml:space="preserve">C-2605</t>
  </si>
  <si>
    <t xml:space="preserve">E38+E39</t>
  </si>
  <si>
    <t xml:space="preserve">https://www.cramer.senate.gov/news/press-releases/senate-banking-committee-passes-clarity-act</t>
  </si>
  <si>
    <t xml:space="preserve">M22</t>
  </si>
  <si>
    <t xml:space="preserve">2026-09-15</t>
  </si>
  <si>
    <t xml:space="preserve">2026-09-16</t>
  </si>
  <si>
    <r>
      <rPr>
        <sz val="10"/>
        <rFont val="Arial"/>
        <family val="0"/>
        <charset val="1"/>
      </rPr>
      <t xml:space="preserve">CLARITY Act </t>
    </r>
    <r>
      <rPr>
        <sz val="10"/>
        <rFont val="Noto Sans CJK SC"/>
        <family val="2"/>
      </rPr>
      <t xml:space="preserve">상원 절차표결 부결</t>
    </r>
    <r>
      <rPr>
        <sz val="10"/>
        <rFont val="Arial"/>
        <family val="0"/>
        <charset val="1"/>
      </rPr>
      <t xml:space="preserve">(49-50)</t>
    </r>
  </si>
  <si>
    <t xml:space="preserve">가장 최근의 제도 후퇴 이벤트</t>
  </si>
  <si>
    <t xml:space="preserve">FOMC 9/16(T+1)</t>
  </si>
  <si>
    <t xml:space="preserve">E41</t>
  </si>
  <si>
    <t xml:space="preserve">https://www.senate.gov/legislative/LIS/roll_call_votes/vote1192/vote_119_2_00234.htm</t>
  </si>
  <si>
    <t xml:space="preserve">R01</t>
  </si>
  <si>
    <t xml:space="preserve">2017-12-01</t>
  </si>
  <si>
    <t xml:space="preserve">2017-12-04</t>
  </si>
  <si>
    <r>
      <rPr>
        <sz val="10"/>
        <rFont val="Arial"/>
        <family val="0"/>
        <charset val="1"/>
      </rPr>
      <t xml:space="preserve">CFTC, CME·Cboe BTC </t>
    </r>
    <r>
      <rPr>
        <sz val="10"/>
        <rFont val="Noto Sans CJK SC"/>
        <family val="2"/>
      </rPr>
      <t xml:space="preserve">선물 자기인증 허용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</si>
  <si>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CFTC</t>
    </r>
    <r>
      <rPr>
        <sz val="10"/>
        <rFont val="Noto Sans CJK SC"/>
        <family val="2"/>
      </rPr>
      <t xml:space="preserve">의 파생상품 상장 허용</t>
    </r>
  </si>
  <si>
    <r>
      <rPr>
        <sz val="10"/>
        <rFont val="Noto Sans CJK SC"/>
        <family val="2"/>
      </rPr>
      <t xml:space="preserve">표본기간</t>
    </r>
    <r>
      <rPr>
        <sz val="10"/>
        <rFont val="Arial"/>
        <family val="0"/>
        <charset val="1"/>
      </rPr>
      <t xml:space="preserve">(2018~) </t>
    </r>
    <r>
      <rPr>
        <sz val="10"/>
        <rFont val="Noto Sans CJK SC"/>
        <family val="2"/>
      </rPr>
      <t xml:space="preserve">이전이고 </t>
    </r>
    <r>
      <rPr>
        <sz val="10"/>
        <rFont val="Arial"/>
        <family val="0"/>
        <charset val="1"/>
      </rPr>
      <t xml:space="preserve">BTC</t>
    </r>
    <r>
      <rPr>
        <sz val="10"/>
        <rFont val="Noto Sans CJK SC"/>
        <family val="2"/>
      </rPr>
      <t xml:space="preserve">의 매크로 연동이 미미하던 시기</t>
    </r>
    <r>
      <rPr>
        <sz val="10"/>
        <rFont val="Arial"/>
        <family val="0"/>
        <charset val="1"/>
      </rPr>
      <t xml:space="preserve">. 2017</t>
    </r>
    <r>
      <rPr>
        <sz val="10"/>
        <rFont val="Noto Sans CJK SC"/>
        <family val="2"/>
      </rPr>
      <t xml:space="preserve">년 국내 과열기 참고 표본</t>
    </r>
  </si>
  <si>
    <t xml:space="preserve">김치프리미엄 극단기 → 국내 전이 가설에서 참고</t>
  </si>
  <si>
    <t xml:space="preserve">https://www.cftc.gov/PressRoom/PressReleases/7654-17</t>
  </si>
  <si>
    <t xml:space="preserve">R02</t>
  </si>
  <si>
    <t xml:space="preserve">2018-09-10</t>
  </si>
  <si>
    <t xml:space="preserve">2018-09-11</t>
  </si>
  <si>
    <r>
      <rPr>
        <sz val="10"/>
        <rFont val="Arial"/>
        <family val="0"/>
        <charset val="1"/>
      </rPr>
      <t xml:space="preserve">NYDFS, GUSD·PAX </t>
    </r>
    <r>
      <rPr>
        <sz val="10"/>
        <rFont val="Noto Sans CJK SC"/>
        <family val="2"/>
      </rPr>
      <t xml:space="preserve">스테이블코인 승인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</si>
  <si>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주 감독기관의 발행 승인</t>
    </r>
  </si>
  <si>
    <t xml:space="preserve">제도 이벤트지만 당시 스테이블코인 시장 규모가 작아 시장 반응을 기대하기 어려움</t>
  </si>
  <si>
    <t xml:space="preserve">E02</t>
  </si>
  <si>
    <t xml:space="preserve">https://www.gemini.com/blog/gemini-launches-the-gemini-dollar-us-dollars-on-the-blockchain</t>
  </si>
  <si>
    <t xml:space="preserve">R03</t>
  </si>
  <si>
    <t xml:space="preserve">2018-09-26</t>
  </si>
  <si>
    <t xml:space="preserve">2018-09-27</t>
  </si>
  <si>
    <r>
      <rPr>
        <sz val="10"/>
        <rFont val="Arial"/>
        <family val="0"/>
        <charset val="1"/>
      </rPr>
      <t xml:space="preserve">Circle·CENTRE, USDC </t>
    </r>
    <r>
      <rPr>
        <sz val="10"/>
        <rFont val="Noto Sans CJK SC"/>
        <family val="2"/>
      </rPr>
      <t xml:space="preserve">출시</t>
    </r>
  </si>
  <si>
    <r>
      <rPr>
        <sz val="10"/>
        <rFont val="Noto Sans CJK SC"/>
        <family val="2"/>
      </rPr>
      <t xml:space="preserve">민간 상품 출시이고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월에 이미 계획이 발표돼 서프라이즈가 낮음</t>
    </r>
  </si>
  <si>
    <t xml:space="preserve">E03</t>
  </si>
  <si>
    <t xml:space="preserve">https://www.circle.com/blog/introducing-usd-coin</t>
  </si>
  <si>
    <t xml:space="preserve">R04</t>
  </si>
  <si>
    <t xml:space="preserve">2018-10-15</t>
  </si>
  <si>
    <t xml:space="preserve">2018-10-16</t>
  </si>
  <si>
    <r>
      <rPr>
        <sz val="10"/>
        <rFont val="Arial"/>
        <family val="0"/>
        <charset val="1"/>
      </rPr>
      <t xml:space="preserve">USDT </t>
    </r>
    <r>
      <rPr>
        <sz val="10"/>
        <rFont val="Noto Sans CJK SC"/>
        <family val="2"/>
      </rPr>
      <t xml:space="preserve">디페깅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신뢰 충격</t>
    </r>
  </si>
  <si>
    <t xml:space="preserve">제도 변화가 아니라 신용 사건 → 본 가설 검정에서 빼고 제도 이벤트와 반응을 비교하는 대조 분석용</t>
  </si>
  <si>
    <t xml:space="preserve">E04</t>
  </si>
  <si>
    <t xml:space="preserve">https://www.coindesk.com/markets/2018/10/15/price-of-stable-cryptocurrency-tether-tanks-to-18-month-low</t>
  </si>
  <si>
    <t xml:space="preserve">R05</t>
  </si>
  <si>
    <t xml:space="preserve">2019-06-18</t>
  </si>
  <si>
    <t xml:space="preserve">2019-06-19</t>
  </si>
  <si>
    <r>
      <rPr>
        <sz val="10"/>
        <rFont val="Arial"/>
        <family val="0"/>
        <charset val="1"/>
      </rPr>
      <t xml:space="preserve">Facebook Libra </t>
    </r>
    <r>
      <rPr>
        <sz val="10"/>
        <rFont val="Noto Sans CJK SC"/>
        <family val="2"/>
      </rPr>
      <t xml:space="preserve">계획 공개</t>
    </r>
  </si>
  <si>
    <t xml:space="preserve">민간 기업 계획 발표라 제도 이벤트가 아님</t>
  </si>
  <si>
    <t xml:space="preserve">FOMC 6/19(T+1)</t>
  </si>
  <si>
    <t xml:space="preserve">E06</t>
  </si>
  <si>
    <t xml:space="preserve">https://about.fb.com/ja/news/2019/06/calibra_launch/</t>
  </si>
  <si>
    <t xml:space="preserve">R06</t>
  </si>
  <si>
    <t xml:space="preserve">2021-02-23</t>
  </si>
  <si>
    <t xml:space="preserve">2021-02-24</t>
  </si>
  <si>
    <r>
      <rPr>
        <sz val="10"/>
        <rFont val="Noto Sans CJK SC"/>
        <family val="2"/>
      </rPr>
      <t xml:space="preserve">뉴욕 검찰</t>
    </r>
    <r>
      <rPr>
        <sz val="10"/>
        <rFont val="Arial"/>
        <family val="0"/>
        <charset val="1"/>
      </rPr>
      <t xml:space="preserve">·Tether </t>
    </r>
    <r>
      <rPr>
        <sz val="10"/>
        <rFont val="Noto Sans CJK SC"/>
        <family val="2"/>
      </rPr>
      <t xml:space="preserve">합의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</si>
  <si>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주 검찰과의 합의</t>
    </r>
  </si>
  <si>
    <t xml:space="preserve">제도 이벤트지만 같은 날 매크로 발언 충격이 커서 효과를 분리할 수 없음</t>
  </si>
  <si>
    <r>
      <rPr>
        <sz val="10"/>
        <rFont val="Noto Sans CJK SC"/>
        <family val="2"/>
      </rPr>
      <t xml:space="preserve">옐런 발언 </t>
    </r>
    <r>
      <rPr>
        <sz val="10"/>
        <rFont val="Arial"/>
        <family val="0"/>
        <charset val="1"/>
      </rPr>
      <t xml:space="preserve">2/22, </t>
    </r>
    <r>
      <rPr>
        <sz val="10"/>
        <rFont val="Noto Sans CJK SC"/>
        <family val="2"/>
      </rPr>
      <t xml:space="preserve">파월 의회증언 </t>
    </r>
    <r>
      <rPr>
        <sz val="10"/>
        <rFont val="Arial"/>
        <family val="0"/>
        <charset val="1"/>
      </rPr>
      <t xml:space="preserve">2/23</t>
    </r>
  </si>
  <si>
    <t xml:space="preserve">E09</t>
  </si>
  <si>
    <r>
      <rPr>
        <sz val="10"/>
        <rFont val="Arial"/>
        <family val="0"/>
        <charset val="1"/>
      </rPr>
      <t xml:space="preserve">BTC −9.9%</t>
    </r>
    <r>
      <rPr>
        <sz val="10"/>
        <rFont val="Noto Sans CJK SC"/>
        <family val="2"/>
      </rPr>
      <t xml:space="preserve">는 합의가 아니라 매크로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밸류에이션 발언 영향</t>
    </r>
  </si>
  <si>
    <t xml:space="preserve">https://ag.ny.gov/press-release/2021/attorney-general-james-ends-virtual-currency-trading-platform-bitfinexs-illegal</t>
  </si>
  <si>
    <t xml:space="preserve">R07</t>
  </si>
  <si>
    <t xml:space="preserve">2021-03-29</t>
  </si>
  <si>
    <t xml:space="preserve">2021-03-30</t>
  </si>
  <si>
    <r>
      <rPr>
        <sz val="10"/>
        <rFont val="Arial"/>
        <family val="0"/>
        <charset val="1"/>
      </rPr>
      <t xml:space="preserve">Visa, USDC </t>
    </r>
    <r>
      <rPr>
        <sz val="10"/>
        <rFont val="Noto Sans CJK SC"/>
        <family val="2"/>
      </rPr>
      <t xml:space="preserve">결제 정산 도입</t>
    </r>
  </si>
  <si>
    <t xml:space="preserve">민간 도입이라 제도 이벤트가 아님</t>
  </si>
  <si>
    <t xml:space="preserve">E10</t>
  </si>
  <si>
    <t xml:space="preserve">https://usa.visa.com/about-visa/newsroom/press-releases.releaseld.17821.html</t>
  </si>
  <si>
    <t xml:space="preserve">R08</t>
  </si>
  <si>
    <t xml:space="preserve">2021-11-01</t>
  </si>
  <si>
    <t xml:space="preserve">2021-11-02</t>
  </si>
  <si>
    <t xml:space="preserve">대통령 금융시장 실무그룹 스테이블코인 보고서</t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</si>
  <si>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재무부 주도 정부 보고서</t>
    </r>
  </si>
  <si>
    <r>
      <rPr>
        <sz val="10"/>
        <rFont val="Noto Sans CJK SC"/>
        <family val="2"/>
      </rPr>
      <t xml:space="preserve">권고안이라 구속력이 없고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이틀 뒤 </t>
    </r>
    <r>
      <rPr>
        <sz val="10"/>
        <rFont val="Arial"/>
        <family val="0"/>
        <charset val="1"/>
      </rPr>
      <t xml:space="preserve">FOMC </t>
    </r>
    <r>
      <rPr>
        <sz val="10"/>
        <rFont val="Noto Sans CJK SC"/>
        <family val="2"/>
      </rPr>
      <t xml:space="preserve">테이퍼링 발표와 겹침</t>
    </r>
  </si>
  <si>
    <t xml:space="preserve">FOMC 11/3(T+2)</t>
  </si>
  <si>
    <t xml:space="preserve">E12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</si>
  <si>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발행은 은행만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권고 → 방향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로 재코딩 검토</t>
    </r>
  </si>
  <si>
    <t xml:space="preserve">https://home.treasury.gov/news/press-releases/jy0454</t>
  </si>
  <si>
    <t xml:space="preserve">R09</t>
  </si>
  <si>
    <t xml:space="preserve">2022-05-09</t>
  </si>
  <si>
    <t xml:space="preserve">2022-05-10</t>
  </si>
  <si>
    <r>
      <rPr>
        <sz val="10"/>
        <rFont val="Arial"/>
        <family val="0"/>
        <charset val="1"/>
      </rPr>
      <t xml:space="preserve">TerraUSD(UST) </t>
    </r>
    <r>
      <rPr>
        <sz val="10"/>
        <rFont val="Noto Sans CJK SC"/>
        <family val="2"/>
      </rPr>
      <t xml:space="preserve">디페깅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런</t>
    </r>
  </si>
  <si>
    <r>
      <rPr>
        <sz val="10"/>
        <rFont val="Noto Sans CJK SC"/>
        <family val="2"/>
      </rPr>
      <t xml:space="preserve">제도 변화가 아니라 신용 사건 → 대조 분석용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발행사가 한국계라 국내 전이 분석의 핵심 사례</t>
    </r>
  </si>
  <si>
    <t xml:space="preserve">FOMC 5/4, CPI 5/11</t>
  </si>
  <si>
    <t xml:space="preserve">E13</t>
  </si>
  <si>
    <t xml:space="preserve">https://libertystreeteconomics.newyorkfed.org/2023/07/runs-on-stablecoins/</t>
  </si>
  <si>
    <t xml:space="preserve">R10</t>
  </si>
  <si>
    <t xml:space="preserve">2022-06-08</t>
  </si>
  <si>
    <t xml:space="preserve">2022-06-09</t>
  </si>
  <si>
    <r>
      <rPr>
        <sz val="10"/>
        <rFont val="Arial"/>
        <family val="0"/>
        <charset val="1"/>
      </rPr>
      <t xml:space="preserve">NYDFS </t>
    </r>
    <r>
      <rPr>
        <sz val="10"/>
        <rFont val="Noto Sans CJK SC"/>
        <family val="2"/>
      </rPr>
      <t xml:space="preserve">달러 스테이블코인 준비금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상환 지침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</si>
  <si>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주 감독기관의 지침</t>
    </r>
  </si>
  <si>
    <r>
      <rPr>
        <sz val="10"/>
        <rFont val="Noto Sans CJK SC"/>
        <family val="2"/>
      </rPr>
      <t xml:space="preserve">제도 이벤트지만 이틀 뒤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쇼크</t>
    </r>
    <r>
      <rPr>
        <sz val="10"/>
        <rFont val="Arial"/>
        <family val="0"/>
        <charset val="1"/>
      </rPr>
      <t xml:space="preserve">, Celsius </t>
    </r>
    <r>
      <rPr>
        <sz val="10"/>
        <rFont val="Noto Sans CJK SC"/>
        <family val="2"/>
      </rPr>
      <t xml:space="preserve">사태</t>
    </r>
    <r>
      <rPr>
        <sz val="10"/>
        <rFont val="Arial"/>
        <family val="0"/>
        <charset val="1"/>
      </rPr>
      <t xml:space="preserve">, 75bp </t>
    </r>
    <r>
      <rPr>
        <sz val="10"/>
        <rFont val="Noto Sans CJK SC"/>
        <family val="2"/>
      </rPr>
      <t xml:space="preserve">인상이 연달아 있어 효과를 분리할 수 없음</t>
    </r>
  </si>
  <si>
    <r>
      <rPr>
        <sz val="10"/>
        <rFont val="Arial"/>
        <family val="0"/>
        <charset val="1"/>
      </rPr>
      <t xml:space="preserve">CPI 6/10, Celsius </t>
    </r>
    <r>
      <rPr>
        <sz val="10"/>
        <rFont val="Noto Sans CJK SC"/>
        <family val="2"/>
      </rPr>
      <t xml:space="preserve">인출중단 </t>
    </r>
    <r>
      <rPr>
        <sz val="10"/>
        <rFont val="Arial"/>
        <family val="0"/>
        <charset val="1"/>
      </rPr>
      <t xml:space="preserve">6/12, FOMC 6/15</t>
    </r>
  </si>
  <si>
    <t xml:space="preserve">E14</t>
  </si>
  <si>
    <r>
      <rPr>
        <sz val="10"/>
        <rFont val="Arial"/>
        <family val="0"/>
        <charset val="1"/>
      </rPr>
      <t xml:space="preserve">[0,+1]</t>
    </r>
    <r>
      <rPr>
        <sz val="10"/>
        <rFont val="Noto Sans CJK SC"/>
        <family val="2"/>
      </rPr>
      <t xml:space="preserve">만 사용</t>
    </r>
    <r>
      <rPr>
        <sz val="10"/>
        <rFont val="Arial"/>
        <family val="0"/>
        <charset val="1"/>
      </rPr>
      <t xml:space="preserve">. d5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BTC −28%</t>
    </r>
    <r>
      <rPr>
        <sz val="10"/>
        <rFont val="Noto Sans CJK SC"/>
        <family val="2"/>
      </rPr>
      <t xml:space="preserve">는 매크로</t>
    </r>
    <r>
      <rPr>
        <sz val="10"/>
        <rFont val="Arial"/>
        <family val="0"/>
        <charset val="1"/>
      </rPr>
      <t xml:space="preserve">·Celsius </t>
    </r>
    <r>
      <rPr>
        <sz val="10"/>
        <rFont val="Noto Sans CJK SC"/>
        <family val="2"/>
      </rPr>
      <t xml:space="preserve">영향</t>
    </r>
  </si>
  <si>
    <t xml:space="preserve">https://www.dfs.ny.gov/industry_guidance/industry_letters/il20220608_issuance_stablecoins</t>
  </si>
  <si>
    <t xml:space="preserve">R11</t>
  </si>
  <si>
    <t xml:space="preserve">2022-11-08</t>
  </si>
  <si>
    <t xml:space="preserve">2022-11-09</t>
  </si>
  <si>
    <r>
      <rPr>
        <sz val="10"/>
        <rFont val="Arial"/>
        <family val="0"/>
        <charset val="1"/>
      </rPr>
      <t xml:space="preserve">FTX </t>
    </r>
    <r>
      <rPr>
        <sz val="10"/>
        <rFont val="Noto Sans CJK SC"/>
        <family val="2"/>
      </rPr>
      <t xml:space="preserve">유동성 위기</t>
    </r>
    <r>
      <rPr>
        <sz val="10"/>
        <rFont val="Arial"/>
        <family val="0"/>
        <charset val="1"/>
      </rPr>
      <t xml:space="preserve">(11/8) → </t>
    </r>
    <r>
      <rPr>
        <sz val="10"/>
        <rFont val="Noto Sans CJK SC"/>
        <family val="2"/>
      </rPr>
      <t xml:space="preserve">파산</t>
    </r>
    <r>
      <rPr>
        <sz val="10"/>
        <rFont val="Arial"/>
        <family val="0"/>
        <charset val="1"/>
      </rPr>
      <t xml:space="preserve">(11/11)</t>
    </r>
  </si>
  <si>
    <t xml:space="preserve">제도 변화가 아니라 신용 사건 → 대조 분석용</t>
  </si>
  <si>
    <r>
      <rPr>
        <sz val="10"/>
        <rFont val="Noto Sans CJK SC"/>
        <family val="2"/>
      </rPr>
      <t xml:space="preserve">미 중간선거 </t>
    </r>
    <r>
      <rPr>
        <sz val="10"/>
        <rFont val="Arial"/>
        <family val="0"/>
        <charset val="1"/>
      </rPr>
      <t xml:space="preserve">11/8, CPI 11/10(</t>
    </r>
    <r>
      <rPr>
        <sz val="10"/>
        <rFont val="Noto Sans CJK SC"/>
        <family val="2"/>
      </rPr>
      <t xml:space="preserve">나스닥 </t>
    </r>
    <r>
      <rPr>
        <sz val="10"/>
        <rFont val="Arial"/>
        <family val="0"/>
        <charset val="1"/>
      </rPr>
      <t xml:space="preserve">+7%)</t>
    </r>
  </si>
  <si>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쇼크와 정면으로 겹침 → 매크로 변수는 </t>
    </r>
    <r>
      <rPr>
        <sz val="10"/>
        <rFont val="Arial"/>
        <family val="0"/>
        <charset val="1"/>
      </rPr>
      <t xml:space="preserve">[−1,+1]</t>
    </r>
    <r>
      <rPr>
        <sz val="10"/>
        <rFont val="Noto Sans CJK SC"/>
        <family val="2"/>
      </rPr>
      <t xml:space="preserve">만</t>
    </r>
  </si>
  <si>
    <t xml:space="preserve">R12</t>
  </si>
  <si>
    <t xml:space="preserve">2023-03-10</t>
  </si>
  <si>
    <t xml:space="preserve">2023-03-11</t>
  </si>
  <si>
    <t xml:space="preserve">2023-03-13</t>
  </si>
  <si>
    <r>
      <rPr>
        <sz val="10"/>
        <rFont val="Arial"/>
        <family val="0"/>
        <charset val="1"/>
      </rPr>
      <t xml:space="preserve">SVB </t>
    </r>
    <r>
      <rPr>
        <sz val="10"/>
        <rFont val="Noto Sans CJK SC"/>
        <family val="2"/>
      </rPr>
      <t xml:space="preserve">파산</t>
    </r>
    <r>
      <rPr>
        <sz val="10"/>
        <rFont val="Arial"/>
        <family val="0"/>
        <charset val="1"/>
      </rPr>
      <t xml:space="preserve">·Circle </t>
    </r>
    <r>
      <rPr>
        <sz val="10"/>
        <rFont val="Noto Sans CJK SC"/>
        <family val="2"/>
      </rPr>
      <t xml:space="preserve">준비금 노출 → </t>
    </r>
    <r>
      <rPr>
        <sz val="10"/>
        <rFont val="Arial"/>
        <family val="0"/>
        <charset val="1"/>
      </rPr>
      <t xml:space="preserve">USDC </t>
    </r>
    <r>
      <rPr>
        <sz val="10"/>
        <rFont val="Noto Sans CJK SC"/>
        <family val="2"/>
      </rPr>
      <t xml:space="preserve">디페깅</t>
    </r>
  </si>
  <si>
    <t xml:space="preserve">제도 변화가 아니라 신용 사건이고 은행 위기라는 매크로 충격 자체 → 대조 분석용</t>
  </si>
  <si>
    <r>
      <rPr>
        <sz val="10"/>
        <rFont val="Arial"/>
        <family val="0"/>
        <charset val="1"/>
      </rPr>
      <t xml:space="preserve">SVB </t>
    </r>
    <r>
      <rPr>
        <sz val="10"/>
        <rFont val="Noto Sans CJK SC"/>
        <family val="2"/>
      </rPr>
      <t xml:space="preserve">자체가 매크로 금융 충격</t>
    </r>
  </si>
  <si>
    <t xml:space="preserve">C-2303</t>
  </si>
  <si>
    <t xml:space="preserve">E16</t>
  </si>
  <si>
    <r>
      <rPr>
        <sz val="10"/>
        <rFont val="Arial"/>
        <family val="0"/>
        <charset val="1"/>
      </rPr>
      <t xml:space="preserve">3/12 </t>
    </r>
    <r>
      <rPr>
        <sz val="10"/>
        <rFont val="Noto Sans CJK SC"/>
        <family val="2"/>
      </rPr>
      <t xml:space="preserve">예금 전액 보호</t>
    </r>
    <r>
      <rPr>
        <sz val="10"/>
        <rFont val="Arial"/>
        <family val="0"/>
        <charset val="1"/>
      </rPr>
      <t xml:space="preserve">(E17)</t>
    </r>
    <r>
      <rPr>
        <sz val="10"/>
        <rFont val="Noto Sans CJK SC"/>
        <family val="2"/>
      </rPr>
      <t xml:space="preserve">와 하나의 클러스터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주식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3/13</t>
    </r>
  </si>
  <si>
    <t xml:space="preserve">https://www.federalreserve.gov/econres/notes/feds-notes/in-the-shadow-of-bank-run-lessons-from-the-silicon-valley-bank-failure-and-its-impact-on-stablecoins-20251217.html</t>
  </si>
  <si>
    <t xml:space="preserve">R13</t>
  </si>
  <si>
    <t xml:space="preserve">2023-03-12</t>
  </si>
  <si>
    <r>
      <rPr>
        <sz val="10"/>
        <rFont val="Noto Sans CJK SC"/>
        <family val="2"/>
      </rPr>
      <t xml:space="preserve">미 당국</t>
    </r>
    <r>
      <rPr>
        <sz val="10"/>
        <rFont val="Arial"/>
        <family val="0"/>
        <charset val="1"/>
      </rPr>
      <t xml:space="preserve">, SVB </t>
    </r>
    <r>
      <rPr>
        <sz val="10"/>
        <rFont val="Noto Sans CJK SC"/>
        <family val="2"/>
      </rPr>
      <t xml:space="preserve">예금 전액 보호</t>
    </r>
    <r>
      <rPr>
        <sz val="10"/>
        <rFont val="Arial"/>
        <family val="0"/>
        <charset val="1"/>
      </rPr>
      <t xml:space="preserve">·BTFP </t>
    </r>
    <r>
      <rPr>
        <sz val="10"/>
        <rFont val="Noto Sans CJK SC"/>
        <family val="2"/>
      </rPr>
      <t xml:space="preserve">발표</t>
    </r>
  </si>
  <si>
    <t xml:space="preserve">크립토 제도가 아니라 금융안정 조치 → 대조 분석용</t>
  </si>
  <si>
    <t xml:space="preserve">E17</t>
  </si>
  <si>
    <r>
      <rPr>
        <sz val="10"/>
        <rFont val="Arial"/>
        <family val="0"/>
        <charset val="1"/>
      </rPr>
      <t xml:space="preserve">E16</t>
    </r>
    <r>
      <rPr>
        <sz val="10"/>
        <rFont val="Noto Sans CJK SC"/>
        <family val="2"/>
      </rPr>
      <t xml:space="preserve">과 클러스터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일요일 발표 → 주식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3/13</t>
    </r>
  </si>
  <si>
    <t xml:space="preserve">https://www.federalreserve.gov/newsevents/pressreleases/monetary20230312b.htm</t>
  </si>
  <si>
    <t xml:space="preserve">R14</t>
  </si>
  <si>
    <t xml:space="preserve">2023-08-07</t>
  </si>
  <si>
    <t xml:space="preserve">2023-08-08</t>
  </si>
  <si>
    <r>
      <rPr>
        <sz val="10"/>
        <rFont val="Arial"/>
        <family val="0"/>
        <charset val="1"/>
      </rPr>
      <t xml:space="preserve">PayPal PYUSD </t>
    </r>
    <r>
      <rPr>
        <sz val="10"/>
        <rFont val="Noto Sans CJK SC"/>
        <family val="2"/>
      </rPr>
      <t xml:space="preserve">출시</t>
    </r>
  </si>
  <si>
    <t xml:space="preserve">민간 상품 출시라 제도 이벤트가 아님</t>
  </si>
  <si>
    <t xml:space="preserve">CPI 8/10(T+3)</t>
  </si>
  <si>
    <t xml:space="preserve">E18</t>
  </si>
  <si>
    <t xml:space="preserve">https://newsroom.paypal-corp.com/2023-08-07-PayPal-Launches-U-S-Dollar-Stablecoin</t>
  </si>
  <si>
    <t xml:space="preserve">R15</t>
  </si>
  <si>
    <t xml:space="preserve">2024-03-20</t>
  </si>
  <si>
    <t xml:space="preserve">2024-03-21</t>
  </si>
  <si>
    <r>
      <rPr>
        <sz val="10"/>
        <rFont val="Arial"/>
        <family val="0"/>
        <charset val="1"/>
      </rPr>
      <t xml:space="preserve">BlackRock </t>
    </r>
    <r>
      <rPr>
        <sz val="10"/>
        <rFont val="Noto Sans CJK SC"/>
        <family val="2"/>
      </rPr>
      <t xml:space="preserve">토큰화 </t>
    </r>
    <r>
      <rPr>
        <sz val="10"/>
        <rFont val="Arial"/>
        <family val="0"/>
        <charset val="1"/>
      </rPr>
      <t xml:space="preserve">MMF BUIDL </t>
    </r>
    <r>
      <rPr>
        <sz val="10"/>
        <rFont val="Noto Sans CJK SC"/>
        <family val="2"/>
      </rPr>
      <t xml:space="preserve">출시</t>
    </r>
  </si>
  <si>
    <r>
      <rPr>
        <sz val="10"/>
        <rFont val="Noto Sans CJK SC"/>
        <family val="2"/>
      </rPr>
      <t xml:space="preserve">민간 상품 출시</t>
    </r>
    <r>
      <rPr>
        <sz val="10"/>
        <rFont val="Arial"/>
        <family val="0"/>
        <charset val="1"/>
      </rPr>
      <t xml:space="preserve">. Part 2(RWA/STO)</t>
    </r>
    <r>
      <rPr>
        <sz val="10"/>
        <rFont val="Noto Sans CJK SC"/>
        <family val="2"/>
      </rPr>
      <t xml:space="preserve">와 연결하려고 추가</t>
    </r>
  </si>
  <si>
    <r>
      <rPr>
        <sz val="10"/>
        <rFont val="Arial"/>
        <family val="0"/>
        <charset val="1"/>
      </rPr>
      <t xml:space="preserve">FOMC 3/20 </t>
    </r>
    <r>
      <rPr>
        <sz val="10"/>
        <rFont val="Noto Sans CJK SC"/>
        <family val="2"/>
      </rPr>
      <t xml:space="preserve">당일</t>
    </r>
  </si>
  <si>
    <t xml:space="preserve">R16</t>
  </si>
  <si>
    <t xml:space="preserve">2024-06-30</t>
  </si>
  <si>
    <t xml:space="preserve">2024-07-01</t>
  </si>
  <si>
    <r>
      <rPr>
        <sz val="10"/>
        <rFont val="Arial"/>
        <family val="0"/>
        <charset val="1"/>
      </rPr>
      <t xml:space="preserve">EU MiCA </t>
    </r>
    <r>
      <rPr>
        <sz val="10"/>
        <rFont val="Noto Sans CJK SC"/>
        <family val="2"/>
      </rPr>
      <t xml:space="preserve">스테이블코인 조항 적용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</si>
  <si>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EU </t>
    </r>
    <r>
      <rPr>
        <sz val="10"/>
        <rFont val="Noto Sans CJK SC"/>
        <family val="2"/>
      </rPr>
      <t xml:space="preserve">규정 시행</t>
    </r>
  </si>
  <si>
    <t xml:space="preserve">미국 이벤트가 아니고 시행일이 오래전부터 정해져 있었음 → 비미국 비교용</t>
  </si>
  <si>
    <t xml:space="preserve">E21</t>
  </si>
  <si>
    <r>
      <rPr>
        <sz val="10"/>
        <rFont val="Noto Sans CJK SC"/>
        <family val="2"/>
      </rPr>
      <t xml:space="preserve">일요일 → 주식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7/1</t>
    </r>
  </si>
  <si>
    <t xml:space="preserve">https://www.eba.europa.eu/sites/default/files/2024-07/7dcd9ce9-96e3-4c5c-8d86-39d7784d1f03/EBA%20statement%20on%20Application%20of%20MiCAR%20to%20ARTs%20and%20EMTs.pdf</t>
  </si>
  <si>
    <t xml:space="preserve">R17</t>
  </si>
  <si>
    <t xml:space="preserve">2024-07-23</t>
  </si>
  <si>
    <t xml:space="preserve">2024-07-24</t>
  </si>
  <si>
    <r>
      <rPr>
        <sz val="10"/>
        <rFont val="Arial"/>
        <family val="0"/>
        <charset val="1"/>
      </rPr>
      <t xml:space="preserve">ETH </t>
    </r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거래 개시</t>
    </r>
  </si>
  <si>
    <r>
      <rPr>
        <sz val="10"/>
        <rFont val="Noto Sans CJK SC"/>
        <family val="2"/>
      </rPr>
      <t xml:space="preserve">민간 기업의 스테이블코인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토큰화 상품 출시나 도입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제도 자체의 변화는 아님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(5/23)</t>
    </r>
    <r>
      <rPr>
        <sz val="10"/>
        <rFont val="Noto Sans CJK SC"/>
        <family val="2"/>
      </rPr>
      <t xml:space="preserve">은 규제 이벤트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거래 개시는 상품 출시</t>
    </r>
  </si>
  <si>
    <r>
      <rPr>
        <sz val="10"/>
        <rFont val="Noto Sans CJK SC"/>
        <family val="2"/>
      </rPr>
      <t xml:space="preserve">날짜가 미리 정해져 있었음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승인일 대비 </t>
    </r>
    <r>
      <rPr>
        <sz val="10"/>
        <rFont val="Arial"/>
        <family val="0"/>
        <charset val="1"/>
      </rPr>
      <t xml:space="preserve">'sell the news' </t>
    </r>
    <r>
      <rPr>
        <sz val="10"/>
        <rFont val="Noto Sans CJK SC"/>
        <family val="2"/>
      </rPr>
      <t xml:space="preserve">확인용</t>
    </r>
  </si>
  <si>
    <t xml:space="preserve">R18</t>
  </si>
  <si>
    <t xml:space="preserve">2025-02-21</t>
  </si>
  <si>
    <t xml:space="preserve">2025-02-24</t>
  </si>
  <si>
    <r>
      <rPr>
        <sz val="10"/>
        <rFont val="Arial"/>
        <family val="0"/>
        <charset val="1"/>
      </rPr>
      <t xml:space="preserve">SEC, Coinbase </t>
    </r>
    <r>
      <rPr>
        <sz val="10"/>
        <rFont val="Noto Sans CJK SC"/>
        <family val="2"/>
      </rPr>
      <t xml:space="preserve">소송 철회 합의 발표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</si>
  <si>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집행 조치 철회</t>
    </r>
  </si>
  <si>
    <r>
      <rPr>
        <sz val="10"/>
        <rFont val="Noto Sans CJK SC"/>
        <family val="2"/>
      </rPr>
      <t xml:space="preserve">같은 날 </t>
    </r>
    <r>
      <rPr>
        <sz val="10"/>
        <rFont val="Arial"/>
        <family val="0"/>
        <charset val="1"/>
      </rPr>
      <t xml:space="preserve">Bybit </t>
    </r>
    <r>
      <rPr>
        <sz val="10"/>
        <rFont val="Noto Sans CJK SC"/>
        <family val="2"/>
      </rPr>
      <t xml:space="preserve">해킹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부정 충격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겹쳐 순효과를 식별하기 어려움</t>
    </r>
  </si>
  <si>
    <r>
      <rPr>
        <sz val="10"/>
        <rFont val="Arial"/>
        <family val="0"/>
        <charset val="1"/>
      </rPr>
      <t xml:space="preserve">Bybit </t>
    </r>
    <r>
      <rPr>
        <sz val="10"/>
        <rFont val="Noto Sans CJK SC"/>
        <family val="2"/>
      </rPr>
      <t xml:space="preserve">해킹 </t>
    </r>
    <r>
      <rPr>
        <sz val="10"/>
        <rFont val="Arial"/>
        <family val="0"/>
        <charset val="1"/>
      </rPr>
      <t xml:space="preserve">2/21</t>
    </r>
  </si>
  <si>
    <t xml:space="preserve">R19</t>
  </si>
  <si>
    <t xml:space="preserve">2025-04-04</t>
  </si>
  <si>
    <t xml:space="preserve">2025-04-07</t>
  </si>
  <si>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직원 성명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지급형 스테이블코인은 증권 아님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</si>
  <si>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 </t>
    </r>
    <r>
      <rPr>
        <sz val="10"/>
        <rFont val="Noto Sans CJK SC"/>
        <family val="2"/>
      </rPr>
      <t xml:space="preserve">직원 성명</t>
    </r>
  </si>
  <si>
    <t xml:space="preserve">스테이블코인에 직접 관련되지만 상호관세 폭락 한가운데라 효과를 분리할 수 없음</t>
  </si>
  <si>
    <r>
      <rPr>
        <sz val="10"/>
        <rFont val="Noto Sans CJK SC"/>
        <family val="2"/>
      </rPr>
      <t xml:space="preserve">상호관세 쇼크 </t>
    </r>
    <r>
      <rPr>
        <sz val="10"/>
        <rFont val="Arial"/>
        <family val="0"/>
        <charset val="1"/>
      </rPr>
      <t xml:space="preserve">4/2~4/9</t>
    </r>
  </si>
  <si>
    <t xml:space="preserve">https://www.sec.gov/newsroom/speeches-statements/statement-stablecoins-040425</t>
  </si>
  <si>
    <t xml:space="preserve">R20</t>
  </si>
  <si>
    <t xml:space="preserve">2025-05-29</t>
  </si>
  <si>
    <t xml:space="preserve">2025-05-30</t>
  </si>
  <si>
    <r>
      <rPr>
        <sz val="10"/>
        <rFont val="Arial"/>
        <family val="0"/>
        <charset val="1"/>
      </rPr>
      <t xml:space="preserve">CLARITY Act </t>
    </r>
    <r>
      <rPr>
        <sz val="10"/>
        <rFont val="Noto Sans CJK SC"/>
        <family val="2"/>
      </rPr>
      <t xml:space="preserve">하원 발의</t>
    </r>
  </si>
  <si>
    <t xml:space="preserve">초안이 몇 주 전에 이미 공개돼 발의일의 정보가치가 낮음</t>
  </si>
  <si>
    <t xml:space="preserve">E27</t>
  </si>
  <si>
    <t xml:space="preserve">https://financialservices.house.gov/news/documentsingle.aspx?DocumentID=409749</t>
  </si>
  <si>
    <t xml:space="preserve">R21</t>
  </si>
  <si>
    <t xml:space="preserve">2025-06-05</t>
  </si>
  <si>
    <t xml:space="preserve">2025-06-06</t>
  </si>
  <si>
    <r>
      <rPr>
        <sz val="10"/>
        <rFont val="Arial"/>
        <family val="0"/>
        <charset val="1"/>
      </rPr>
      <t xml:space="preserve">Circle(CRCL) </t>
    </r>
    <r>
      <rPr>
        <sz val="10"/>
        <rFont val="Noto Sans CJK SC"/>
        <family val="2"/>
      </rPr>
      <t xml:space="preserve">뉴욕증시 상장</t>
    </r>
  </si>
  <si>
    <r>
      <rPr>
        <sz val="10"/>
        <rFont val="Noto Sans CJK SC"/>
        <family val="2"/>
      </rPr>
      <t xml:space="preserve">개별 기업 상장이라 제도 이벤트가 아님</t>
    </r>
    <r>
      <rPr>
        <sz val="10"/>
        <rFont val="Arial"/>
        <family val="0"/>
        <charset val="1"/>
      </rPr>
      <t xml:space="preserve">. CRCL </t>
    </r>
    <r>
      <rPr>
        <sz val="10"/>
        <rFont val="Noto Sans CJK SC"/>
        <family val="2"/>
      </rPr>
      <t xml:space="preserve">시계열의 시작점</t>
    </r>
  </si>
  <si>
    <t xml:space="preserve">E28</t>
  </si>
  <si>
    <t xml:space="preserve">https://www.circle.com/pressroom/circle-announces-pricing-of-upsized-initial-public-offering</t>
  </si>
  <si>
    <t xml:space="preserve">R22</t>
  </si>
  <si>
    <t xml:space="preserve">2025-08-07</t>
  </si>
  <si>
    <t xml:space="preserve">2025-08-08</t>
  </si>
  <si>
    <r>
      <rPr>
        <sz val="10"/>
        <rFont val="Arial"/>
        <family val="0"/>
        <charset val="1"/>
      </rPr>
      <t xml:space="preserve">401(k) </t>
    </r>
    <r>
      <rPr>
        <sz val="10"/>
        <rFont val="Noto Sans CJK SC"/>
        <family val="2"/>
      </rPr>
      <t xml:space="preserve">대체자산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가상자산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허용 행정명령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</si>
  <si>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대통령 행정명령</t>
    </r>
  </si>
  <si>
    <t xml:space="preserve">제도 이벤트지만 실제 시행까지 후속 규칙이 필요하고 사전 보도가 있었음</t>
  </si>
  <si>
    <t xml:space="preserve">https://www.whitehouse.gov/presidential-actions/2025/08/democratizing-access-to-alternative-assets-for-401k-investors/</t>
  </si>
  <si>
    <t xml:space="preserve">R23</t>
  </si>
  <si>
    <t xml:space="preserve">2025-08-12</t>
  </si>
  <si>
    <t xml:space="preserve">2025-08-13</t>
  </si>
  <si>
    <r>
      <rPr>
        <sz val="10"/>
        <rFont val="Arial"/>
        <family val="0"/>
        <charset val="1"/>
      </rPr>
      <t xml:space="preserve">Circle 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후속 공모 발표</t>
    </r>
  </si>
  <si>
    <r>
      <rPr>
        <sz val="10"/>
        <rFont val="Noto Sans CJK SC"/>
        <family val="2"/>
      </rPr>
      <t xml:space="preserve">개별 기업 이벤트라 제도 효과 분석에서는 빼고 </t>
    </r>
    <r>
      <rPr>
        <sz val="10"/>
        <rFont val="Arial"/>
        <family val="0"/>
        <charset val="1"/>
      </rPr>
      <t xml:space="preserve">CRCL </t>
    </r>
    <r>
      <rPr>
        <sz val="10"/>
        <rFont val="Noto Sans CJK SC"/>
        <family val="2"/>
      </rPr>
      <t xml:space="preserve">분석용으로만 사용</t>
    </r>
  </si>
  <si>
    <r>
      <rPr>
        <sz val="10"/>
        <rFont val="Arial"/>
        <family val="0"/>
        <charset val="1"/>
      </rPr>
      <t xml:space="preserve">CPI 8/12 </t>
    </r>
    <r>
      <rPr>
        <sz val="10"/>
        <rFont val="Noto Sans CJK SC"/>
        <family val="2"/>
      </rPr>
      <t xml:space="preserve">당일</t>
    </r>
  </si>
  <si>
    <t xml:space="preserve">E33</t>
  </si>
  <si>
    <t xml:space="preserve">https://investor.circle.com/news/news-details/2025/Circle-Launches-Public-Offering/default.aspx</t>
  </si>
  <si>
    <t xml:space="preserve">R24</t>
  </si>
  <si>
    <t xml:space="preserve">2025-09-17</t>
  </si>
  <si>
    <t xml:space="preserve">2025-09-18</t>
  </si>
  <si>
    <r>
      <rPr>
        <sz val="10"/>
        <rFont val="Arial"/>
        <family val="0"/>
        <charset val="1"/>
      </rPr>
      <t xml:space="preserve">SEC, </t>
    </r>
    <r>
      <rPr>
        <sz val="10"/>
        <rFont val="Noto Sans CJK SC"/>
        <family val="2"/>
      </rPr>
      <t xml:space="preserve">현물 상품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일반상장기준 승인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</si>
  <si>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</t>
    </r>
    <r>
      <rPr>
        <sz val="10"/>
        <rFont val="Arial"/>
        <family val="0"/>
        <charset val="1"/>
      </rPr>
      <t xml:space="preserve">SEC</t>
    </r>
    <r>
      <rPr>
        <sz val="10"/>
        <rFont val="Noto Sans CJK SC"/>
        <family val="2"/>
      </rPr>
      <t xml:space="preserve">의 상장 규정 승인</t>
    </r>
  </si>
  <si>
    <r>
      <rPr>
        <sz val="10"/>
        <rFont val="Arial"/>
        <family val="0"/>
        <charset val="1"/>
      </rPr>
      <t xml:space="preserve">FOMC </t>
    </r>
    <r>
      <rPr>
        <sz val="10"/>
        <rFont val="Noto Sans CJK SC"/>
        <family val="2"/>
      </rPr>
      <t xml:space="preserve">금리 인하 발표일과 같은 날이라 효과를 분리할 수 없음</t>
    </r>
  </si>
  <si>
    <r>
      <rPr>
        <sz val="10"/>
        <rFont val="Arial"/>
        <family val="0"/>
        <charset val="1"/>
      </rPr>
      <t xml:space="preserve">FOMC 9/17 </t>
    </r>
    <r>
      <rPr>
        <sz val="10"/>
        <rFont val="Noto Sans CJK SC"/>
        <family val="2"/>
      </rPr>
      <t xml:space="preserve">당일</t>
    </r>
  </si>
  <si>
    <t xml:space="preserve">R25</t>
  </si>
  <si>
    <t xml:space="preserve">2026-02-25</t>
  </si>
  <si>
    <t xml:space="preserve">2026-02-26</t>
  </si>
  <si>
    <r>
      <rPr>
        <sz val="10"/>
        <rFont val="Arial"/>
        <family val="0"/>
        <charset val="1"/>
      </rPr>
      <t xml:space="preserve">OCC, GENIUS Act </t>
    </r>
    <r>
      <rPr>
        <sz val="10"/>
        <rFont val="Noto Sans CJK SC"/>
        <family val="2"/>
      </rPr>
      <t xml:space="preserve">시행규칙안 발표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</si>
  <si>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연방 은행감독기관의 규칙안</t>
    </r>
  </si>
  <si>
    <r>
      <rPr>
        <sz val="10"/>
        <rFont val="Noto Sans CJK SC"/>
        <family val="2"/>
      </rPr>
      <t xml:space="preserve">법 통과 후 나올 게 정해져 있던 후속 절차라 서프라이즈가 낮음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반응이 없는 것 자체가 검증 포인트</t>
    </r>
  </si>
  <si>
    <t xml:space="preserve">E35</t>
  </si>
  <si>
    <t xml:space="preserve">https://www.occ.gov/news-issuances/news-releases/2026/nr-occ-2026-9.html</t>
  </si>
  <si>
    <t xml:space="preserve">R26</t>
  </si>
  <si>
    <t xml:space="preserve">2026-04-01</t>
  </si>
  <si>
    <t xml:space="preserve">2026-04-02</t>
  </si>
  <si>
    <r>
      <rPr>
        <sz val="10"/>
        <rFont val="Noto Sans CJK SC"/>
        <family val="2"/>
      </rPr>
      <t xml:space="preserve">재무부 </t>
    </r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규칙안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주정부 감독</t>
    </r>
    <r>
      <rPr>
        <sz val="10"/>
        <rFont val="Arial"/>
        <family val="0"/>
        <charset val="1"/>
      </rPr>
      <t xml:space="preserve">(4/1)·</t>
    </r>
    <r>
      <rPr>
        <sz val="10"/>
        <rFont val="Noto Sans CJK SC"/>
        <family val="2"/>
      </rPr>
      <t xml:space="preserve">불법금융 방지</t>
    </r>
    <r>
      <rPr>
        <sz val="10"/>
        <rFont val="Arial"/>
        <family val="0"/>
        <charset val="1"/>
      </rPr>
      <t xml:space="preserve">(4/8)</t>
    </r>
  </si>
  <si>
    <r>
      <rPr>
        <sz val="10"/>
        <rFont val="Noto Sans CJK SC"/>
        <family val="2"/>
      </rPr>
      <t xml:space="preserve">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행정기관</t>
    </r>
    <r>
      <rPr>
        <sz val="10"/>
        <rFont val="Arial"/>
        <family val="0"/>
        <charset val="1"/>
      </rPr>
      <t xml:space="preserve">(SEC·OCC·CFTC·NYDFS·</t>
    </r>
    <r>
      <rPr>
        <sz val="10"/>
        <rFont val="Noto Sans CJK SC"/>
        <family val="2"/>
      </rPr>
      <t xml:space="preserve">재무부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백악관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승인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집행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행정명령 — 재무부 규칙안</t>
    </r>
  </si>
  <si>
    <r>
      <rPr>
        <sz val="10"/>
        <rFont val="Noto Sans CJK SC"/>
        <family val="2"/>
      </rPr>
      <t xml:space="preserve">예정된 후속 절차라 서프라이즈가 낮음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주 간격이라 병합</t>
    </r>
  </si>
  <si>
    <t xml:space="preserve">CPI 4/10</t>
  </si>
  <si>
    <t xml:space="preserve">C-2604</t>
  </si>
  <si>
    <t xml:space="preserve">E36+E37</t>
  </si>
  <si>
    <t xml:space="preserve">https://home.treasury.gov/news/press-releases/sb0428</t>
  </si>
  <si>
    <t xml:space="preserve">R27</t>
  </si>
  <si>
    <t xml:space="preserve">2026-08-17</t>
  </si>
  <si>
    <t xml:space="preserve">2026-08-18</t>
  </si>
  <si>
    <r>
      <rPr>
        <sz val="10"/>
        <rFont val="Noto Sans CJK SC"/>
        <family val="2"/>
      </rPr>
      <t xml:space="preserve">재무부 </t>
    </r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발행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 규칙안</t>
    </r>
  </si>
  <si>
    <t xml:space="preserve">예정된 후속 절차라 서프라이즈가 낮음</t>
  </si>
  <si>
    <t xml:space="preserve">E40</t>
  </si>
  <si>
    <r>
      <rPr>
        <sz val="10"/>
        <rFont val="Arial"/>
        <family val="0"/>
        <charset val="1"/>
      </rPr>
      <t xml:space="preserve">BTC d5 +22.7%</t>
    </r>
    <r>
      <rPr>
        <sz val="10"/>
        <rFont val="Noto Sans CJK SC"/>
        <family val="2"/>
      </rPr>
      <t xml:space="preserve">는 규칙안으로 설명하기 어려움 → 같은 주 다른 요인 확인 필요</t>
    </r>
  </si>
  <si>
    <t xml:space="preserve">https://home.treasury.gov/news/press-releases/sb0605</t>
  </si>
  <si>
    <t xml:space="preserve">구분</t>
  </si>
  <si>
    <t xml:space="preserve">날짜</t>
  </si>
  <si>
    <t xml:space="preserve">기존 카테고리</t>
  </si>
  <si>
    <t xml:space="preserve">최종 카테고리</t>
  </si>
  <si>
    <t xml:space="preserve">기존 방향</t>
  </si>
  <si>
    <t xml:space="preserve">최종 방향</t>
  </si>
  <si>
    <t xml:space="preserve">최종 표본</t>
  </si>
  <si>
    <r>
      <rPr>
        <b val="true"/>
        <sz val="11"/>
        <color rgb="FFFFFFFF"/>
        <rFont val="Noto Sans CJK SC"/>
        <family val="2"/>
      </rPr>
      <t xml:space="preserve">최종 이벤트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</si>
  <si>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변경 사유</t>
  </si>
  <si>
    <t xml:space="preserve">유지</t>
  </si>
  <si>
    <r>
      <rPr>
        <sz val="10"/>
        <rFont val="Arial"/>
        <family val="0"/>
        <charset val="1"/>
      </rPr>
      <t xml:space="preserve">Circle USDC </t>
    </r>
    <r>
      <rPr>
        <sz val="10"/>
        <rFont val="Noto Sans CJK SC"/>
        <family val="2"/>
      </rPr>
      <t xml:space="preserve">출시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</si>
  <si>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민간 상품 출시이고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월에 이미 계획이 발표돼 서프라이즈가 낮음</t>
    </r>
  </si>
  <si>
    <r>
      <rPr>
        <sz val="10"/>
        <rFont val="Arial"/>
        <family val="0"/>
        <charset val="1"/>
      </rPr>
      <t xml:space="preserve">USDT </t>
    </r>
    <r>
      <rPr>
        <sz val="10"/>
        <rFont val="Noto Sans CJK SC"/>
        <family val="2"/>
      </rPr>
      <t xml:space="preserve">신뢰 충격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디페깅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</si>
  <si>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변화가 아니라 신용 사건 → 본 가설 검정에서 빼고 제도 이벤트와 반응을 비교하는 대조 분석용</t>
    </r>
  </si>
  <si>
    <r>
      <rPr>
        <sz val="10"/>
        <rFont val="Noto Sans CJK SC"/>
        <family val="2"/>
      </rPr>
      <t xml:space="preserve">뉴욕 검찰 </t>
    </r>
    <r>
      <rPr>
        <sz val="10"/>
        <rFont val="Arial"/>
        <family val="0"/>
        <charset val="1"/>
      </rPr>
      <t xml:space="preserve">Bitfinex·Tether </t>
    </r>
    <r>
      <rPr>
        <sz val="10"/>
        <rFont val="Noto Sans CJK SC"/>
        <family val="2"/>
      </rPr>
      <t xml:space="preserve">자금 문제 공개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</si>
  <si>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예고 없던 집행 조치라 서프라이즈가 분명하고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겹치는 매크로 일정이 없음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</si>
  <si>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민간 기업 계획 발표라 제도 이벤트가 아님</t>
    </r>
  </si>
  <si>
    <r>
      <rPr>
        <sz val="10"/>
        <rFont val="Arial"/>
        <family val="0"/>
        <charset val="1"/>
      </rPr>
      <t xml:space="preserve">OCC </t>
    </r>
    <r>
      <rPr>
        <sz val="10"/>
        <rFont val="Noto Sans CJK SC"/>
        <family val="2"/>
      </rPr>
      <t xml:space="preserve">은행의 스테이블코인 준비금 보관 허용 해석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</si>
  <si>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은행권의 스테이블코인 참여를 처음 허용한 해석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서프라이즈가 있고 겹치는 매크로 일정이 없음</t>
    </r>
  </si>
  <si>
    <r>
      <rPr>
        <sz val="10"/>
        <rFont val="Arial"/>
        <family val="0"/>
        <charset val="1"/>
      </rPr>
      <t xml:space="preserve">OCC </t>
    </r>
    <r>
      <rPr>
        <sz val="10"/>
        <rFont val="Noto Sans CJK SC"/>
        <family val="2"/>
      </rPr>
      <t xml:space="preserve">은행의 스테이블코인 결제 활용 허용 해석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</si>
  <si>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은행의 스테이블코인 결제망 활용을 허용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서프라이즈 있음</t>
    </r>
  </si>
  <si>
    <r>
      <rPr>
        <sz val="10"/>
        <rFont val="Noto Sans CJK SC"/>
        <family val="2"/>
      </rPr>
      <t xml:space="preserve">뉴욕 검찰</t>
    </r>
    <r>
      <rPr>
        <sz val="10"/>
        <rFont val="Arial"/>
        <family val="0"/>
        <charset val="1"/>
      </rPr>
      <t xml:space="preserve">·Tether </t>
    </r>
    <r>
      <rPr>
        <sz val="10"/>
        <rFont val="Noto Sans CJK SC"/>
        <family val="2"/>
      </rPr>
      <t xml:space="preserve">합의 발표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</si>
  <si>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이벤트지만 같은 날 매크로 발언 충격이 커서 효과를 분리할 수 없음</t>
    </r>
  </si>
  <si>
    <r>
      <rPr>
        <sz val="10"/>
        <rFont val="Arial"/>
        <family val="0"/>
        <charset val="1"/>
      </rPr>
      <t xml:space="preserve">Visa USDC </t>
    </r>
    <r>
      <rPr>
        <sz val="10"/>
        <rFont val="Noto Sans CJK SC"/>
        <family val="2"/>
      </rPr>
      <t xml:space="preserve">결제 정산 시범 도입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</si>
  <si>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민간 도입이라 제도 이벤트가 아님</t>
    </r>
  </si>
  <si>
    <t xml:space="preserve">미 대통령 실무그룹 스테이블코인 보고서</t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</si>
  <si>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권고안이라 구속력이 없고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이틀 뒤 </t>
    </r>
    <r>
      <rPr>
        <sz val="10"/>
        <rFont val="Arial"/>
        <family val="0"/>
        <charset val="1"/>
      </rPr>
      <t xml:space="preserve">FOMC </t>
    </r>
    <r>
      <rPr>
        <sz val="10"/>
        <rFont val="Noto Sans CJK SC"/>
        <family val="2"/>
      </rPr>
      <t xml:space="preserve">테이퍼링 발표와 겹침</t>
    </r>
  </si>
  <si>
    <r>
      <rPr>
        <sz val="10"/>
        <rFont val="Arial"/>
        <family val="0"/>
        <charset val="1"/>
      </rPr>
      <t xml:space="preserve">Paxos BUSD </t>
    </r>
    <r>
      <rPr>
        <sz val="10"/>
        <rFont val="Noto Sans CJK SC"/>
        <family val="2"/>
      </rPr>
      <t xml:space="preserve">신규 발행 중단 발표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</si>
  <si>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스테이블코인 발행사에 대한 직접 규제 조치이고 서프라이즈가 큼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</si>
  <si>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민간 상품 출시라 제도 이벤트가 아님</t>
    </r>
  </si>
  <si>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초기 법안 발의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</si>
  <si>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스테이블코인 법안이 공식 절차에 들어간 첫 단계</t>
    </r>
  </si>
  <si>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상원 은행위 통과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</si>
  <si>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초당적 표차로 통과 가능성을 높인 단계</t>
    </r>
  </si>
  <si>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상원 절차표결 부결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</si>
  <si>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후퇴 표본이 적어서 오염이 있어도 포함</t>
    </r>
  </si>
  <si>
    <r>
      <rPr>
        <sz val="10"/>
        <rFont val="Arial"/>
        <family val="0"/>
        <charset val="1"/>
      </rPr>
      <t xml:space="preserve">CLARITY </t>
    </r>
    <r>
      <rPr>
        <sz val="10"/>
        <rFont val="Noto Sans CJK SC"/>
        <family val="2"/>
      </rPr>
      <t xml:space="preserve">하원 법안 발의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</si>
  <si>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초안이 몇 주 전에 이미 공개돼 발의일의 정보가치가 낮음</t>
    </r>
  </si>
  <si>
    <r>
      <rPr>
        <sz val="10"/>
        <rFont val="Arial"/>
        <family val="0"/>
        <charset val="1"/>
      </rPr>
      <t xml:space="preserve">Circle CRCL </t>
    </r>
    <r>
      <rPr>
        <sz val="10"/>
        <rFont val="Noto Sans CJK SC"/>
        <family val="2"/>
      </rPr>
      <t xml:space="preserve">뉴욕증시 상장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</si>
  <si>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개별 기업 상장이라 제도 이벤트가 아님</t>
    </r>
    <r>
      <rPr>
        <sz val="10"/>
        <rFont val="Arial"/>
        <family val="0"/>
        <charset val="1"/>
      </rPr>
      <t xml:space="preserve">. CRCL </t>
    </r>
    <r>
      <rPr>
        <sz val="10"/>
        <rFont val="Noto Sans CJK SC"/>
        <family val="2"/>
      </rPr>
      <t xml:space="preserve">시계열의 시작점</t>
    </r>
  </si>
  <si>
    <r>
      <rPr>
        <sz val="10"/>
        <rFont val="Arial"/>
        <family val="0"/>
        <charset val="1"/>
      </rPr>
      <t xml:space="preserve">CLARITY </t>
    </r>
    <r>
      <rPr>
        <sz val="10"/>
        <rFont val="Noto Sans CJK SC"/>
        <family val="2"/>
      </rPr>
      <t xml:space="preserve">하원 금융서비스위 통과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</si>
  <si>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시장구조 법안의 첫 위원회 통과</t>
    </r>
  </si>
  <si>
    <r>
      <rPr>
        <sz val="10"/>
        <rFont val="Arial"/>
        <family val="0"/>
        <charset val="1"/>
      </rPr>
      <t xml:space="preserve">Circle </t>
    </r>
    <r>
      <rPr>
        <sz val="10"/>
        <rFont val="Noto Sans CJK SC"/>
        <family val="2"/>
      </rPr>
      <t xml:space="preserve">실적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후속 주식 공모 발표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</si>
  <si>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개별 기업 이벤트라 제도 효과 분석에서는 빼고 </t>
    </r>
    <r>
      <rPr>
        <sz val="10"/>
        <rFont val="Arial"/>
        <family val="0"/>
        <charset val="1"/>
      </rPr>
      <t xml:space="preserve">CRCL </t>
    </r>
    <r>
      <rPr>
        <sz val="10"/>
        <rFont val="Noto Sans CJK SC"/>
        <family val="2"/>
      </rPr>
      <t xml:space="preserve">분석용으로만 사용</t>
    </r>
  </si>
  <si>
    <r>
      <rPr>
        <sz val="10"/>
        <rFont val="Arial"/>
        <family val="0"/>
        <charset val="1"/>
      </rPr>
      <t xml:space="preserve">CLARITY </t>
    </r>
    <r>
      <rPr>
        <sz val="10"/>
        <rFont val="Noto Sans CJK SC"/>
        <family val="2"/>
      </rPr>
      <t xml:space="preserve">상원 은행위 심사 연기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</si>
  <si>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예고 없던 입법 차질이라 서프라이즈 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제도 후퇴 표본</t>
    </r>
  </si>
  <si>
    <r>
      <rPr>
        <sz val="10"/>
        <rFont val="Arial"/>
        <family val="0"/>
        <charset val="1"/>
      </rPr>
      <t xml:space="preserve">OCC GENIUS </t>
    </r>
    <r>
      <rPr>
        <sz val="10"/>
        <rFont val="Noto Sans CJK SC"/>
        <family val="2"/>
      </rPr>
      <t xml:space="preserve">시행규칙 제안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</si>
  <si>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법 통과 후 나올 게 정해져 있던 후속 절차라 서프라이즈가 낮음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반응이 없는 것 자체가 검증 포인트</t>
    </r>
  </si>
  <si>
    <r>
      <rPr>
        <sz val="10"/>
        <rFont val="Noto Sans CJK SC"/>
        <family val="2"/>
      </rPr>
      <t xml:space="preserve">재무부 </t>
    </r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발행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판매 규칙 제안</t>
    </r>
  </si>
  <si>
    <r>
      <rPr>
        <sz val="10"/>
        <rFont val="Arial"/>
        <family val="0"/>
        <charset val="1"/>
      </rPr>
      <t xml:space="preserve">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예정된 후속 절차라 서프라이즈가 낮음</t>
    </r>
  </si>
  <si>
    <r>
      <rPr>
        <sz val="10"/>
        <rFont val="Arial"/>
        <family val="0"/>
        <charset val="1"/>
      </rPr>
      <t xml:space="preserve">CLARITY </t>
    </r>
    <r>
      <rPr>
        <sz val="10"/>
        <rFont val="Noto Sans CJK SC"/>
        <family val="2"/>
      </rPr>
      <t xml:space="preserve">상원 절차표결 부결</t>
    </r>
  </si>
  <si>
    <r>
      <rPr>
        <sz val="10"/>
        <rFont val="Arial"/>
        <family val="0"/>
        <charset val="1"/>
      </rPr>
      <t xml:space="preserve">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가장 최근의 제도 후퇴 이벤트</t>
    </r>
  </si>
  <si>
    <t xml:space="preserve">수정</t>
  </si>
  <si>
    <r>
      <rPr>
        <sz val="10"/>
        <rFont val="Noto Sans CJK SC"/>
        <family val="2"/>
      </rPr>
      <t xml:space="preserve">뉴욕 규제하 </t>
    </r>
    <r>
      <rPr>
        <sz val="10"/>
        <rFont val="Arial"/>
        <family val="0"/>
        <charset val="1"/>
      </rPr>
      <t xml:space="preserve">GUSD·PAX </t>
    </r>
    <r>
      <rPr>
        <sz val="10"/>
        <rFont val="Noto Sans CJK SC"/>
        <family val="2"/>
      </rPr>
      <t xml:space="preserve">출시</t>
    </r>
  </si>
  <si>
    <r>
      <rPr>
        <sz val="10"/>
        <rFont val="Noto Sans CJK SC"/>
        <family val="2"/>
      </rPr>
      <t xml:space="preserve">카테고리 채택 → 규제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출시 자체보다 </t>
    </r>
    <r>
      <rPr>
        <sz val="10"/>
        <rFont val="Arial"/>
        <family val="0"/>
        <charset val="1"/>
      </rPr>
      <t xml:space="preserve">NYDFS</t>
    </r>
    <r>
      <rPr>
        <sz val="10"/>
        <rFont val="Noto Sans CJK SC"/>
        <family val="2"/>
      </rPr>
      <t xml:space="preserve">의 발행 승인이 핵심</t>
    </r>
    <r>
      <rPr>
        <sz val="10"/>
        <rFont val="Arial"/>
        <family val="0"/>
        <charset val="1"/>
      </rPr>
      <t xml:space="preserve">) 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이벤트지만 당시 스테이블코인 시장 규모가 작아 시장 반응을 기대하기 어려움</t>
    </r>
  </si>
  <si>
    <t xml:space="preserve">2022-05-07</t>
  </si>
  <si>
    <r>
      <rPr>
        <sz val="10"/>
        <rFont val="Arial"/>
        <family val="0"/>
        <charset val="1"/>
      </rPr>
      <t xml:space="preserve">TerraUSD </t>
    </r>
    <r>
      <rPr>
        <sz val="10"/>
        <rFont val="Noto Sans CJK SC"/>
        <family val="2"/>
      </rPr>
      <t xml:space="preserve">디페깅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런 시작 구간</t>
    </r>
  </si>
  <si>
    <r>
      <rPr>
        <sz val="10"/>
        <rFont val="Noto Sans CJK SC"/>
        <family val="2"/>
      </rPr>
      <t xml:space="preserve">날짜 </t>
    </r>
    <r>
      <rPr>
        <sz val="10"/>
        <rFont val="Arial"/>
        <family val="0"/>
        <charset val="1"/>
      </rPr>
      <t xml:space="preserve">5/7(</t>
    </r>
    <r>
      <rPr>
        <sz val="10"/>
        <rFont val="Noto Sans CJK SC"/>
        <family val="2"/>
      </rPr>
      <t xml:space="preserve">토</t>
    </r>
    <r>
      <rPr>
        <sz val="10"/>
        <rFont val="Arial"/>
        <family val="0"/>
        <charset val="1"/>
      </rPr>
      <t xml:space="preserve">) → 5/9(</t>
    </r>
    <r>
      <rPr>
        <sz val="10"/>
        <rFont val="Noto Sans CJK SC"/>
        <family val="2"/>
      </rPr>
      <t xml:space="preserve">본격적인 런 시작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수정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범위 </t>
    </r>
    <r>
      <rPr>
        <sz val="10"/>
        <rFont val="Arial"/>
        <family val="0"/>
        <charset val="1"/>
      </rPr>
      <t xml:space="preserve">US → Global(</t>
    </r>
    <r>
      <rPr>
        <sz val="10"/>
        <rFont val="Noto Sans CJK SC"/>
        <family val="2"/>
      </rPr>
      <t xml:space="preserve">발행사가 한국계</t>
    </r>
    <r>
      <rPr>
        <sz val="10"/>
        <rFont val="Arial"/>
        <family val="0"/>
        <charset val="1"/>
      </rPr>
      <t xml:space="preserve">) 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변화가 아니라 신용 사건 → 대조 분석용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발행사가 한국계라 국내 전이 분석의 핵심 사례</t>
    </r>
  </si>
  <si>
    <r>
      <rPr>
        <sz val="10"/>
        <rFont val="Noto Sans CJK SC"/>
        <family val="2"/>
      </rPr>
      <t xml:space="preserve">방향 </t>
    </r>
    <r>
      <rPr>
        <sz val="10"/>
        <rFont val="Arial"/>
        <family val="0"/>
        <charset val="1"/>
      </rPr>
      <t xml:space="preserve">0 → +1 (</t>
    </r>
    <r>
      <rPr>
        <sz val="10"/>
        <rFont val="Noto Sans CJK SC"/>
        <family val="2"/>
      </rPr>
      <t xml:space="preserve">준비금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상환 기준을 명확히 한 규제 진전</t>
    </r>
    <r>
      <rPr>
        <sz val="10"/>
        <rFont val="Arial"/>
        <family val="0"/>
        <charset val="1"/>
      </rPr>
      <t xml:space="preserve">) 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이벤트지만 이틀 뒤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쇼크</t>
    </r>
    <r>
      <rPr>
        <sz val="10"/>
        <rFont val="Arial"/>
        <family val="0"/>
        <charset val="1"/>
      </rPr>
      <t xml:space="preserve">, Celsius </t>
    </r>
    <r>
      <rPr>
        <sz val="10"/>
        <rFont val="Noto Sans CJK SC"/>
        <family val="2"/>
      </rPr>
      <t xml:space="preserve">사태</t>
    </r>
    <r>
      <rPr>
        <sz val="10"/>
        <rFont val="Arial"/>
        <family val="0"/>
        <charset val="1"/>
      </rPr>
      <t xml:space="preserve">, 75bp </t>
    </r>
    <r>
      <rPr>
        <sz val="10"/>
        <rFont val="Noto Sans CJK SC"/>
        <family val="2"/>
      </rPr>
      <t xml:space="preserve">인상이 연달아 있어 효과를 분리할 수 없음</t>
    </r>
  </si>
  <si>
    <r>
      <rPr>
        <sz val="10"/>
        <rFont val="Arial"/>
        <family val="0"/>
        <charset val="1"/>
      </rPr>
      <t xml:space="preserve">Circle SVB </t>
    </r>
    <r>
      <rPr>
        <sz val="10"/>
        <rFont val="Noto Sans CJK SC"/>
        <family val="2"/>
      </rPr>
      <t xml:space="preserve">준비금 노출 공개</t>
    </r>
  </si>
  <si>
    <r>
      <rPr>
        <sz val="10"/>
        <rFont val="Noto Sans CJK SC"/>
        <family val="2"/>
      </rPr>
      <t xml:space="preserve">주식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3/13(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명시</t>
    </r>
    <r>
      <rPr>
        <sz val="10"/>
        <rFont val="Arial"/>
        <family val="0"/>
        <charset val="1"/>
      </rPr>
      <t xml:space="preserve">. E17</t>
    </r>
    <r>
      <rPr>
        <sz val="10"/>
        <rFont val="Noto Sans CJK SC"/>
        <family val="2"/>
      </rPr>
      <t xml:space="preserve">과 같은 클러스터 </t>
    </r>
    <r>
      <rPr>
        <sz val="10"/>
        <rFont val="Arial"/>
        <family val="0"/>
        <charset val="1"/>
      </rPr>
      <t xml:space="preserve">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변화가 아니라 신용 사건이고 은행 위기라는 매크로 충격 자체 → 대조 분석용</t>
    </r>
  </si>
  <si>
    <r>
      <rPr>
        <sz val="10"/>
        <rFont val="Noto Sans CJK SC"/>
        <family val="2"/>
      </rPr>
      <t xml:space="preserve">미 당국 </t>
    </r>
    <r>
      <rPr>
        <sz val="10"/>
        <rFont val="Arial"/>
        <family val="0"/>
        <charset val="1"/>
      </rPr>
      <t xml:space="preserve">SVB </t>
    </r>
    <r>
      <rPr>
        <sz val="10"/>
        <rFont val="Noto Sans CJK SC"/>
        <family val="2"/>
      </rPr>
      <t xml:space="preserve">예금자 보호 발표</t>
    </r>
  </si>
  <si>
    <r>
      <rPr>
        <sz val="10"/>
        <rFont val="Noto Sans CJK SC"/>
        <family val="2"/>
      </rPr>
      <t xml:space="preserve">주식 </t>
    </r>
    <r>
      <rPr>
        <sz val="10"/>
        <rFont val="Arial"/>
        <family val="0"/>
        <charset val="1"/>
      </rPr>
      <t xml:space="preserve">t0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3/13(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명시</t>
    </r>
    <r>
      <rPr>
        <sz val="10"/>
        <rFont val="Arial"/>
        <family val="0"/>
        <charset val="1"/>
      </rPr>
      <t xml:space="preserve">. E16</t>
    </r>
    <r>
      <rPr>
        <sz val="10"/>
        <rFont val="Noto Sans CJK SC"/>
        <family val="2"/>
      </rPr>
      <t xml:space="preserve">과 같은 클러스터 </t>
    </r>
    <r>
      <rPr>
        <sz val="10"/>
        <rFont val="Arial"/>
        <family val="0"/>
        <charset val="1"/>
      </rPr>
      <t xml:space="preserve">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크립토 제도가 아니라 금융안정 조치 → 대조 분석용</t>
    </r>
  </si>
  <si>
    <r>
      <rPr>
        <sz val="10"/>
        <rFont val="Noto Sans CJK SC"/>
        <family val="2"/>
      </rPr>
      <t xml:space="preserve">방향 </t>
    </r>
    <r>
      <rPr>
        <sz val="10"/>
        <rFont val="Arial"/>
        <family val="0"/>
        <charset val="1"/>
      </rPr>
      <t xml:space="preserve">0 → +1 (</t>
    </r>
    <r>
      <rPr>
        <sz val="10"/>
        <rFont val="Noto Sans CJK SC"/>
        <family val="2"/>
      </rPr>
      <t xml:space="preserve">규제 명확화</t>
    </r>
    <r>
      <rPr>
        <sz val="10"/>
        <rFont val="Arial"/>
        <family val="0"/>
        <charset val="1"/>
      </rPr>
      <t xml:space="preserve">) 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미국 이벤트가 아니고 시행일이 오래전부터 정해져 있었음 → 비미국 비교용</t>
    </r>
  </si>
  <si>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상원 본회의 통과</t>
    </r>
  </si>
  <si>
    <r>
      <rPr>
        <sz val="10"/>
        <rFont val="Noto Sans CJK SC"/>
        <family val="2"/>
      </rPr>
      <t xml:space="preserve">장 마감 후 표결이라 주식 </t>
    </r>
    <r>
      <rPr>
        <sz val="10"/>
        <rFont val="Arial"/>
        <family val="0"/>
        <charset val="1"/>
      </rPr>
      <t xml:space="preserve">t0 6/18 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. FOMC </t>
    </r>
    <r>
      <rPr>
        <sz val="10"/>
        <rFont val="Noto Sans CJK SC"/>
        <family val="2"/>
      </rPr>
      <t xml:space="preserve">결정일과 겹침 표시 </t>
    </r>
    <r>
      <rPr>
        <sz val="10"/>
        <rFont val="Arial"/>
        <family val="0"/>
        <charset val="1"/>
      </rPr>
      <t xml:space="preserve">/ 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스테이블코인 법의 핵심 관문이라 제외할 수 없음</t>
    </r>
  </si>
  <si>
    <t xml:space="preserve">병합</t>
  </si>
  <si>
    <t xml:space="preserve">E31</t>
  </si>
  <si>
    <r>
      <rPr>
        <sz val="10"/>
        <rFont val="Arial"/>
        <family val="0"/>
        <charset val="1"/>
      </rPr>
      <t xml:space="preserve">GENIUS·CLARITY </t>
    </r>
    <r>
      <rPr>
        <sz val="10"/>
        <rFont val="Noto Sans CJK SC"/>
        <family val="2"/>
      </rPr>
      <t xml:space="preserve">하원 본회의 통과</t>
    </r>
  </si>
  <si>
    <r>
      <rPr>
        <sz val="10"/>
        <rFont val="Arial"/>
        <family val="0"/>
        <charset val="1"/>
      </rPr>
      <t xml:space="preserve">E32</t>
    </r>
    <r>
      <rPr>
        <sz val="10"/>
        <rFont val="Noto Sans CJK SC"/>
        <family val="2"/>
      </rPr>
      <t xml:space="preserve">와 하루 간격이라 하나로 병합</t>
    </r>
    <r>
      <rPr>
        <sz val="10"/>
        <rFont val="Arial"/>
        <family val="0"/>
        <charset val="1"/>
      </rPr>
      <t xml:space="preserve">(t0=7/17) / 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GENIUS </t>
    </r>
    <r>
      <rPr>
        <sz val="10"/>
        <rFont val="Noto Sans CJK SC"/>
        <family val="2"/>
      </rPr>
      <t xml:space="preserve">법률 제정 완료 시점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하루 간격이라 두 이벤트를 병합</t>
    </r>
  </si>
  <si>
    <t xml:space="preserve">E32</t>
  </si>
  <si>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대통령 서명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법률 제정</t>
    </r>
  </si>
  <si>
    <r>
      <rPr>
        <sz val="10"/>
        <rFont val="Arial"/>
        <family val="0"/>
        <charset val="1"/>
      </rPr>
      <t xml:space="preserve">E31</t>
    </r>
    <r>
      <rPr>
        <sz val="10"/>
        <rFont val="Noto Sans CJK SC"/>
        <family val="2"/>
      </rPr>
      <t xml:space="preserve">과 병합 </t>
    </r>
    <r>
      <rPr>
        <sz val="10"/>
        <rFont val="Arial"/>
        <family val="0"/>
        <charset val="1"/>
      </rPr>
      <t xml:space="preserve">/ 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GENIUS </t>
    </r>
    <r>
      <rPr>
        <sz val="10"/>
        <rFont val="Noto Sans CJK SC"/>
        <family val="2"/>
      </rPr>
      <t xml:space="preserve">법률 제정 완료 시점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하루 간격이라 두 이벤트를 병합</t>
    </r>
  </si>
  <si>
    <t xml:space="preserve">E36</t>
  </si>
  <si>
    <r>
      <rPr>
        <sz val="10"/>
        <rFont val="Noto Sans CJK SC"/>
        <family val="2"/>
      </rPr>
      <t xml:space="preserve">재무부 </t>
    </r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주정부 감독 기준 제안</t>
    </r>
  </si>
  <si>
    <r>
      <rPr>
        <sz val="10"/>
        <rFont val="Arial"/>
        <family val="0"/>
        <charset val="1"/>
      </rPr>
      <t xml:space="preserve">E37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 간격이라 하나로 병합</t>
    </r>
    <r>
      <rPr>
        <sz val="10"/>
        <rFont val="Arial"/>
        <family val="0"/>
        <charset val="1"/>
      </rPr>
      <t xml:space="preserve">(t0=4/1) 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예정된 후속 절차라 서프라이즈가 낮음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주 간격이라 병합</t>
    </r>
  </si>
  <si>
    <t xml:space="preserve">E37</t>
  </si>
  <si>
    <t xml:space="preserve">2026-04-08</t>
  </si>
  <si>
    <r>
      <rPr>
        <sz val="10"/>
        <rFont val="Noto Sans CJK SC"/>
        <family val="2"/>
      </rPr>
      <t xml:space="preserve">재무부 </t>
    </r>
    <r>
      <rPr>
        <sz val="10"/>
        <rFont val="Arial"/>
        <family val="0"/>
        <charset val="1"/>
      </rPr>
      <t xml:space="preserve">GENIUS </t>
    </r>
    <r>
      <rPr>
        <sz val="10"/>
        <rFont val="Noto Sans CJK SC"/>
        <family val="2"/>
      </rPr>
      <t xml:space="preserve">불법금융 방지 규칙 제안</t>
    </r>
  </si>
  <si>
    <r>
      <rPr>
        <sz val="10"/>
        <rFont val="Arial"/>
        <family val="0"/>
        <charset val="1"/>
      </rPr>
      <t xml:space="preserve">E36</t>
    </r>
    <r>
      <rPr>
        <sz val="10"/>
        <rFont val="Noto Sans CJK SC"/>
        <family val="2"/>
      </rPr>
      <t xml:space="preserve">과 병합 </t>
    </r>
    <r>
      <rPr>
        <sz val="10"/>
        <rFont val="Arial"/>
        <family val="0"/>
        <charset val="1"/>
      </rPr>
      <t xml:space="preserve">/ Robust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예정된 후속 절차라 서프라이즈가 낮음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주 간격이라 병합</t>
    </r>
  </si>
  <si>
    <t xml:space="preserve">E38</t>
  </si>
  <si>
    <t xml:space="preserve">2026-05-12</t>
  </si>
  <si>
    <r>
      <rPr>
        <sz val="10"/>
        <rFont val="Arial"/>
        <family val="0"/>
        <charset val="1"/>
      </rPr>
      <t xml:space="preserve">CLARITY </t>
    </r>
    <r>
      <rPr>
        <sz val="10"/>
        <rFont val="Noto Sans CJK SC"/>
        <family val="2"/>
      </rPr>
      <t xml:space="preserve">상원 심사안 공개</t>
    </r>
  </si>
  <si>
    <r>
      <rPr>
        <sz val="10"/>
        <rFont val="Arial"/>
        <family val="0"/>
        <charset val="1"/>
      </rPr>
      <t xml:space="preserve">5/12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발표일과 겹쳐 </t>
    </r>
    <r>
      <rPr>
        <sz val="10"/>
        <rFont val="Arial"/>
        <family val="0"/>
        <charset val="1"/>
      </rPr>
      <t xml:space="preserve">5/14 </t>
    </r>
    <r>
      <rPr>
        <sz val="10"/>
        <rFont val="Noto Sans CJK SC"/>
        <family val="2"/>
      </rPr>
      <t xml:space="preserve">은행위 통과와 병합</t>
    </r>
    <r>
      <rPr>
        <sz val="10"/>
        <rFont val="Arial"/>
        <family val="0"/>
        <charset val="1"/>
      </rPr>
      <t xml:space="preserve">(t0=5/14) / 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시장구조 법안의 상원 첫 관문</t>
    </r>
    <r>
      <rPr>
        <sz val="10"/>
        <rFont val="Arial"/>
        <family val="0"/>
        <charset val="1"/>
      </rPr>
      <t xml:space="preserve">. 5/12 </t>
    </r>
    <r>
      <rPr>
        <sz val="10"/>
        <rFont val="Noto Sans CJK SC"/>
        <family val="2"/>
      </rPr>
      <t xml:space="preserve">법안 공개는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발표일과 겹쳐 병합</t>
    </r>
  </si>
  <si>
    <t xml:space="preserve">E39</t>
  </si>
  <si>
    <r>
      <rPr>
        <sz val="10"/>
        <rFont val="Arial"/>
        <family val="0"/>
        <charset val="1"/>
      </rPr>
      <t xml:space="preserve">CLARITY </t>
    </r>
    <r>
      <rPr>
        <sz val="10"/>
        <rFont val="Noto Sans CJK SC"/>
        <family val="2"/>
      </rPr>
      <t xml:space="preserve">상원 은행위 통과</t>
    </r>
  </si>
  <si>
    <r>
      <rPr>
        <sz val="10"/>
        <rFont val="Arial"/>
        <family val="0"/>
        <charset val="1"/>
      </rPr>
      <t xml:space="preserve">E38</t>
    </r>
    <r>
      <rPr>
        <sz val="10"/>
        <rFont val="Noto Sans CJK SC"/>
        <family val="2"/>
      </rPr>
      <t xml:space="preserve">과 병합 </t>
    </r>
    <r>
      <rPr>
        <sz val="10"/>
        <rFont val="Arial"/>
        <family val="0"/>
        <charset val="1"/>
      </rPr>
      <t xml:space="preserve">/ Main </t>
    </r>
    <r>
      <rPr>
        <sz val="10"/>
        <rFont val="Noto Sans CJK SC"/>
        <family val="2"/>
      </rPr>
      <t xml:space="preserve">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시장구조 법안의 상원 첫 관문</t>
    </r>
    <r>
      <rPr>
        <sz val="10"/>
        <rFont val="Arial"/>
        <family val="0"/>
        <charset val="1"/>
      </rPr>
      <t xml:space="preserve">. 5/12 </t>
    </r>
    <r>
      <rPr>
        <sz val="10"/>
        <rFont val="Noto Sans CJK SC"/>
        <family val="2"/>
      </rPr>
      <t xml:space="preserve">법안 공개는 </t>
    </r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발표일과 겹쳐 병합</t>
    </r>
  </si>
  <si>
    <t xml:space="preserve">추가</t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</si>
  <si>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표본기간</t>
    </r>
    <r>
      <rPr>
        <sz val="10"/>
        <rFont val="Arial"/>
        <family val="0"/>
        <charset val="1"/>
      </rPr>
      <t xml:space="preserve">(2018~) </t>
    </r>
    <r>
      <rPr>
        <sz val="10"/>
        <rFont val="Noto Sans CJK SC"/>
        <family val="2"/>
      </rPr>
      <t xml:space="preserve">이전이고 </t>
    </r>
    <r>
      <rPr>
        <sz val="10"/>
        <rFont val="Arial"/>
        <family val="0"/>
        <charset val="1"/>
      </rPr>
      <t xml:space="preserve">BTC</t>
    </r>
    <r>
      <rPr>
        <sz val="10"/>
        <rFont val="Noto Sans CJK SC"/>
        <family val="2"/>
      </rPr>
      <t xml:space="preserve">의 매크로 연동이 미미하던 시기</t>
    </r>
    <r>
      <rPr>
        <sz val="10"/>
        <rFont val="Arial"/>
        <family val="0"/>
        <charset val="1"/>
      </rPr>
      <t xml:space="preserve">. 2017</t>
    </r>
    <r>
      <rPr>
        <sz val="10"/>
        <rFont val="Noto Sans CJK SC"/>
        <family val="2"/>
      </rPr>
      <t xml:space="preserve">년 국내 과열기 참고 표본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</si>
  <si>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(E11 </t>
    </r>
    <r>
      <rPr>
        <sz val="10"/>
        <rFont val="Noto Sans CJK SC"/>
        <family val="2"/>
      </rPr>
      <t xml:space="preserve">대체</t>
    </r>
    <r>
      <rPr>
        <sz val="10"/>
        <rFont val="Arial"/>
        <family val="0"/>
        <charset val="1"/>
      </rPr>
      <t xml:space="preserve">): </t>
    </r>
    <r>
      <rPr>
        <sz val="10"/>
        <rFont val="Noto Sans CJK SC"/>
        <family val="2"/>
      </rPr>
      <t xml:space="preserve">제도권 투자상품 접근을 처음 연 이벤트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날 </t>
    </r>
    <r>
      <rPr>
        <sz val="10"/>
        <rFont val="Arial"/>
        <family val="0"/>
        <charset val="1"/>
      </rPr>
      <t xml:space="preserve">CFTC Tether </t>
    </r>
    <r>
      <rPr>
        <sz val="10"/>
        <rFont val="Noto Sans CJK SC"/>
        <family val="2"/>
      </rPr>
      <t xml:space="preserve">제재</t>
    </r>
    <r>
      <rPr>
        <sz val="10"/>
        <rFont val="Arial"/>
        <family val="0"/>
        <charset val="1"/>
      </rPr>
      <t xml:space="preserve">(E11)</t>
    </r>
    <r>
      <rPr>
        <sz val="10"/>
        <rFont val="Noto Sans CJK SC"/>
        <family val="2"/>
      </rPr>
      <t xml:space="preserve">보다 시장 영향이 훨씬 커서 이 날짜는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이벤트로 코딩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</si>
  <si>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변화가 아니라 신용 사건 → 대조 분석용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</si>
  <si>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미국 최대 거래소들에 대한 집행 조치라 서프라이즈가 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제도 후퇴 이벤트 표본을 보강함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</si>
  <si>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기업 행위지만 제도권 편입 기대를 급격히 바꾼 서프라이즈라 </t>
    </r>
    <r>
      <rPr>
        <sz val="10"/>
        <rFont val="Arial"/>
        <family val="0"/>
        <charset val="1"/>
      </rPr>
      <t xml:space="preserve">Main</t>
    </r>
    <r>
      <rPr>
        <sz val="10"/>
        <rFont val="Noto Sans CJK SC"/>
        <family val="2"/>
      </rPr>
      <t xml:space="preserve">에 포함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승인</t>
    </r>
    <r>
      <rPr>
        <sz val="10"/>
        <rFont val="Arial"/>
        <family val="0"/>
        <charset val="1"/>
      </rPr>
      <t xml:space="preserve">(2024-01-10)</t>
    </r>
    <r>
      <rPr>
        <sz val="10"/>
        <rFont val="Noto Sans CJK SC"/>
        <family val="2"/>
      </rPr>
      <t xml:space="preserve">과는 별개 이벤트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</si>
  <si>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증권성 판단이라는 규제 범위를 법원이 바꾼 서프라이즈 이벤트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</si>
  <si>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현물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승인의 길을 연 판결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매크로 오염이 가장 적은 깨끗한 표본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</si>
  <si>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미국 크립토 제도화의 대표 이벤트라 빼면 안 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예견도가 높아 사전 반영</t>
    </r>
    <r>
      <rPr>
        <sz val="10"/>
        <rFont val="Arial"/>
        <family val="0"/>
        <charset val="1"/>
      </rPr>
      <t xml:space="preserve">(drift) </t>
    </r>
    <r>
      <rPr>
        <sz val="10"/>
        <rFont val="Noto Sans CJK SC"/>
        <family val="2"/>
      </rPr>
      <t xml:space="preserve">분석이 핵심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</si>
  <si>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민간 상품 출시</t>
    </r>
    <r>
      <rPr>
        <sz val="10"/>
        <rFont val="Arial"/>
        <family val="0"/>
        <charset val="1"/>
      </rPr>
      <t xml:space="preserve">. Part 2(RWA/STO)</t>
    </r>
    <r>
      <rPr>
        <sz val="10"/>
        <rFont val="Noto Sans CJK SC"/>
        <family val="2"/>
      </rPr>
      <t xml:space="preserve">와 연결하려고 추가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</si>
  <si>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ETH </t>
    </r>
    <r>
      <rPr>
        <sz val="10"/>
        <rFont val="Noto Sans CJK SC"/>
        <family val="2"/>
      </rPr>
      <t xml:space="preserve">제도화의 대표 이벤트</t>
    </r>
    <r>
      <rPr>
        <sz val="10"/>
        <rFont val="Arial"/>
        <family val="0"/>
        <charset val="1"/>
      </rPr>
      <t xml:space="preserve">. 5/20 SEC </t>
    </r>
    <r>
      <rPr>
        <sz val="10"/>
        <rFont val="Noto Sans CJK SC"/>
        <family val="2"/>
      </rPr>
      <t xml:space="preserve">태도 변화 보도가 실제 서프라이즈였음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</si>
  <si>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날짜가 미리 정해져 있었음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승인일 대비 </t>
    </r>
    <r>
      <rPr>
        <sz val="10"/>
        <rFont val="Arial"/>
        <family val="0"/>
        <charset val="1"/>
      </rPr>
      <t xml:space="preserve">'sell the news' </t>
    </r>
    <r>
      <rPr>
        <sz val="10"/>
        <rFont val="Noto Sans CJK SC"/>
        <family val="2"/>
      </rPr>
      <t xml:space="preserve">확인용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</si>
  <si>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은행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기업의 가상자산 수탁 회계 부담을 없앤 조치라 기업 대응전략과 직접 연결됨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</si>
  <si>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같은 날 </t>
    </r>
    <r>
      <rPr>
        <sz val="10"/>
        <rFont val="Arial"/>
        <family val="0"/>
        <charset val="1"/>
      </rPr>
      <t xml:space="preserve">Bybit </t>
    </r>
    <r>
      <rPr>
        <sz val="10"/>
        <rFont val="Noto Sans CJK SC"/>
        <family val="2"/>
      </rPr>
      <t xml:space="preserve">해킹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부정 충격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겹쳐 순효과를 식별하기 어려움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</si>
  <si>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국가 차원의 </t>
    </r>
    <r>
      <rPr>
        <sz val="10"/>
        <rFont val="Arial"/>
        <family val="0"/>
        <charset val="1"/>
      </rPr>
      <t xml:space="preserve">BTC </t>
    </r>
    <r>
      <rPr>
        <sz val="10"/>
        <rFont val="Noto Sans CJK SC"/>
        <family val="2"/>
      </rPr>
      <t xml:space="preserve">보유를 공식화한 이벤트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</si>
  <si>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스테이블코인에 직접 관련되지만 상호관세 폭락 한가운데라 효과를 분리할 수 없음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</si>
  <si>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제도 이벤트지만 실제 시행까지 후속 규칙이 필요하고 사전 보도가 있었음</t>
    </r>
  </si>
  <si>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: FOMC </t>
    </r>
    <r>
      <rPr>
        <sz val="10"/>
        <rFont val="Noto Sans CJK SC"/>
        <family val="2"/>
      </rPr>
      <t xml:space="preserve">금리 인하 발표일과 같은 날이라 효과를 분리할 수 없음</t>
    </r>
  </si>
  <si>
    <t xml:space="preserve">제외</t>
  </si>
  <si>
    <t xml:space="preserve">E01</t>
  </si>
  <si>
    <t xml:space="preserve">2015-06-03</t>
  </si>
  <si>
    <r>
      <rPr>
        <sz val="10"/>
        <rFont val="Noto Sans CJK SC"/>
        <family val="2"/>
      </rPr>
      <t xml:space="preserve">뉴욕 </t>
    </r>
    <r>
      <rPr>
        <sz val="10"/>
        <rFont val="Arial"/>
        <family val="0"/>
        <charset val="1"/>
      </rPr>
      <t xml:space="preserve">BitLicense </t>
    </r>
    <r>
      <rPr>
        <sz val="10"/>
        <rFont val="Noto Sans CJK SC"/>
        <family val="2"/>
      </rPr>
      <t xml:space="preserve">최종 규정 발표</t>
    </r>
  </si>
  <si>
    <r>
      <rPr>
        <sz val="10"/>
        <rFont val="Noto Sans CJK SC"/>
        <family val="2"/>
      </rPr>
      <t xml:space="preserve">스테이블코인 시장 형성 이전</t>
    </r>
    <r>
      <rPr>
        <sz val="10"/>
        <rFont val="Arial"/>
        <family val="0"/>
        <charset val="1"/>
      </rPr>
      <t xml:space="preserve">(2015)</t>
    </r>
    <r>
      <rPr>
        <sz val="10"/>
        <rFont val="Noto Sans CJK SC"/>
        <family val="2"/>
      </rPr>
      <t xml:space="preserve">이고 </t>
    </r>
    <r>
      <rPr>
        <sz val="10"/>
        <rFont val="Arial"/>
        <family val="0"/>
        <charset val="1"/>
      </rPr>
      <t xml:space="preserve">BTC</t>
    </r>
    <r>
      <rPr>
        <sz val="10"/>
        <rFont val="Noto Sans CJK SC"/>
        <family val="2"/>
      </rPr>
      <t xml:space="preserve">의 매크로 연동이 미미하던 시기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국내 비교 데이터도 없음</t>
    </r>
  </si>
  <si>
    <t xml:space="preserve">E11</t>
  </si>
  <si>
    <r>
      <rPr>
        <sz val="10"/>
        <rFont val="Arial"/>
        <family val="0"/>
        <charset val="1"/>
      </rPr>
      <t xml:space="preserve">CFTC Tether </t>
    </r>
    <r>
      <rPr>
        <sz val="10"/>
        <rFont val="Noto Sans CJK SC"/>
        <family val="2"/>
      </rPr>
      <t xml:space="preserve">준비금 공시 관련 제재</t>
    </r>
  </si>
  <si>
    <r>
      <rPr>
        <sz val="10"/>
        <rFont val="Noto Sans CJK SC"/>
        <family val="2"/>
      </rPr>
      <t xml:space="preserve">같은 날 </t>
    </r>
    <r>
      <rPr>
        <sz val="10"/>
        <rFont val="Arial"/>
        <family val="0"/>
        <charset val="1"/>
      </rPr>
      <t xml:space="preserve">SEC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BITO </t>
    </r>
    <r>
      <rPr>
        <sz val="10"/>
        <rFont val="Noto Sans CJK SC"/>
        <family val="2"/>
      </rPr>
      <t xml:space="preserve">선물 </t>
    </r>
    <r>
      <rPr>
        <sz val="10"/>
        <rFont val="Arial"/>
        <family val="0"/>
        <charset val="1"/>
      </rPr>
      <t xml:space="preserve">ETF </t>
    </r>
    <r>
      <rPr>
        <sz val="10"/>
        <rFont val="Noto Sans CJK SC"/>
        <family val="2"/>
      </rPr>
      <t xml:space="preserve">허용 보도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긍정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겹쳐 방향이 반대인 두 효과를 분리할 수 없음 → 이 날짜는 </t>
    </r>
    <r>
      <rPr>
        <sz val="10"/>
        <rFont val="Arial"/>
        <family val="0"/>
        <charset val="1"/>
      </rPr>
      <t xml:space="preserve">BITO </t>
    </r>
    <r>
      <rPr>
        <sz val="10"/>
        <rFont val="Noto Sans CJK SC"/>
        <family val="2"/>
      </rPr>
      <t xml:space="preserve">이벤트로 대체</t>
    </r>
  </si>
  <si>
    <t xml:space="preserve">E19</t>
  </si>
  <si>
    <t xml:space="preserve">2023-09-05</t>
  </si>
  <si>
    <r>
      <rPr>
        <sz val="10"/>
        <rFont val="Arial"/>
        <family val="0"/>
        <charset val="1"/>
      </rPr>
      <t xml:space="preserve">Visa USDC </t>
    </r>
    <r>
      <rPr>
        <sz val="10"/>
        <rFont val="Noto Sans CJK SC"/>
        <family val="2"/>
      </rPr>
      <t xml:space="preserve">정산을 </t>
    </r>
    <r>
      <rPr>
        <sz val="10"/>
        <rFont val="Arial"/>
        <family val="0"/>
        <charset val="1"/>
      </rPr>
      <t xml:space="preserve">Solana</t>
    </r>
    <r>
      <rPr>
        <sz val="10"/>
        <rFont val="Noto Sans CJK SC"/>
        <family val="2"/>
      </rPr>
      <t xml:space="preserve">로 확대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</si>
  <si>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Visa </t>
    </r>
    <r>
      <rPr>
        <sz val="10"/>
        <rFont val="Noto Sans CJK SC"/>
        <family val="2"/>
      </rPr>
      <t xml:space="preserve">정산 서비스의 체인 확대라 새로운 정보가 거의 없음</t>
    </r>
  </si>
  <si>
    <t xml:space="preserve">E20</t>
  </si>
  <si>
    <t xml:space="preserve">2024-05-29</t>
  </si>
  <si>
    <r>
      <rPr>
        <sz val="10"/>
        <rFont val="Arial"/>
        <family val="0"/>
        <charset val="1"/>
      </rPr>
      <t xml:space="preserve">PYUSD Solana </t>
    </r>
    <r>
      <rPr>
        <sz val="10"/>
        <rFont val="Noto Sans CJK SC"/>
        <family val="2"/>
      </rPr>
      <t xml:space="preserve">네트워크 출시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</si>
  <si>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PYUSD</t>
    </r>
    <r>
      <rPr>
        <sz val="10"/>
        <rFont val="Noto Sans CJK SC"/>
        <family val="2"/>
      </rPr>
      <t xml:space="preserve">의 체인 추가라 새로운 정보가 거의 없음</t>
    </r>
  </si>
  <si>
    <t xml:space="preserve">E22</t>
  </si>
  <si>
    <t xml:space="preserve">2024-11-04</t>
  </si>
  <si>
    <r>
      <rPr>
        <sz val="10"/>
        <rFont val="Arial"/>
        <family val="0"/>
        <charset val="1"/>
      </rPr>
      <t xml:space="preserve">USDG Global Dollar Network </t>
    </r>
    <r>
      <rPr>
        <sz val="10"/>
        <rFont val="Noto Sans CJK SC"/>
        <family val="2"/>
      </rPr>
      <t xml:space="preserve">출범</t>
    </r>
  </si>
  <si>
    <r>
      <rPr>
        <sz val="10"/>
        <rFont val="Noto Sans CJK SC"/>
        <family val="2"/>
      </rPr>
      <t xml:space="preserve">하루 뒤 미국 대선</t>
    </r>
    <r>
      <rPr>
        <sz val="10"/>
        <rFont val="Arial"/>
        <family val="0"/>
        <charset val="1"/>
      </rPr>
      <t xml:space="preserve">(11/5), 3</t>
    </r>
    <r>
      <rPr>
        <sz val="10"/>
        <rFont val="Noto Sans CJK SC"/>
        <family val="2"/>
      </rPr>
      <t xml:space="preserve">일 뒤 </t>
    </r>
    <r>
      <rPr>
        <sz val="10"/>
        <rFont val="Arial"/>
        <family val="0"/>
        <charset val="1"/>
      </rPr>
      <t xml:space="preserve">FOMC(11/7)</t>
    </r>
    <r>
      <rPr>
        <sz val="10"/>
        <rFont val="Noto Sans CJK SC"/>
        <family val="2"/>
      </rPr>
      <t xml:space="preserve">와 겹쳐 효과를 식별할 수 없음</t>
    </r>
  </si>
  <si>
    <t xml:space="preserve">E26</t>
  </si>
  <si>
    <t xml:space="preserve">2025-05-15</t>
  </si>
  <si>
    <r>
      <rPr>
        <sz val="10"/>
        <rFont val="Arial"/>
        <family val="0"/>
        <charset val="1"/>
      </rPr>
      <t xml:space="preserve">Mastercard·MoonPay </t>
    </r>
    <r>
      <rPr>
        <sz val="10"/>
        <rFont val="Noto Sans CJK SC"/>
        <family val="2"/>
      </rPr>
      <t xml:space="preserve">스테이블코인 결제 협력</t>
    </r>
  </si>
  <si>
    <t xml:space="preserve">제휴 발표 수준이라 시장 전체에 대한 정보가치가 낮음</t>
  </si>
  <si>
    <t xml:space="preserve">검토 후 제외</t>
  </si>
  <si>
    <t xml:space="preserve">2020-03-15</t>
  </si>
  <si>
    <r>
      <rPr>
        <sz val="10"/>
        <rFont val="Arial"/>
        <family val="0"/>
        <charset val="1"/>
      </rPr>
      <t xml:space="preserve">Fed </t>
    </r>
    <r>
      <rPr>
        <sz val="10"/>
        <rFont val="Noto Sans CJK SC"/>
        <family val="2"/>
      </rPr>
      <t xml:space="preserve">긴급 제로금리</t>
    </r>
    <r>
      <rPr>
        <sz val="10"/>
        <rFont val="Arial"/>
        <family val="0"/>
        <charset val="1"/>
      </rPr>
      <t xml:space="preserve">·QE </t>
    </r>
    <r>
      <rPr>
        <sz val="10"/>
        <rFont val="Noto Sans CJK SC"/>
        <family val="2"/>
      </rPr>
      <t xml:space="preserve">재개</t>
    </r>
  </si>
  <si>
    <r>
      <rPr>
        <sz val="10"/>
        <rFont val="Noto Sans CJK SC"/>
        <family val="2"/>
      </rPr>
      <t xml:space="preserve">매크로 통제 이벤트로 검토했으나 팀 결정으로 이벤트 리스트에서 제외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각 이벤트의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매크로 일정 겹침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열로 오염 여부를 관리</t>
    </r>
  </si>
  <si>
    <t xml:space="preserve">2022-03-16</t>
  </si>
  <si>
    <r>
      <rPr>
        <sz val="10"/>
        <rFont val="Arial"/>
        <family val="0"/>
        <charset val="1"/>
      </rPr>
      <t xml:space="preserve">FOMC </t>
    </r>
    <r>
      <rPr>
        <sz val="10"/>
        <rFont val="Noto Sans CJK SC"/>
        <family val="2"/>
      </rPr>
      <t xml:space="preserve">첫 금리인상</t>
    </r>
  </si>
  <si>
    <t xml:space="preserve">2022-06-15</t>
  </si>
  <si>
    <r>
      <rPr>
        <sz val="10"/>
        <rFont val="Arial"/>
        <family val="0"/>
        <charset val="1"/>
      </rPr>
      <t xml:space="preserve">FOMC 75bp </t>
    </r>
    <r>
      <rPr>
        <sz val="10"/>
        <rFont val="Noto Sans CJK SC"/>
        <family val="2"/>
      </rPr>
      <t xml:space="preserve">인상</t>
    </r>
  </si>
  <si>
    <t xml:space="preserve">2022-09-13</t>
  </si>
  <si>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상방 서프라이즈</t>
    </r>
  </si>
  <si>
    <t xml:space="preserve">2022-11-10</t>
  </si>
  <si>
    <r>
      <rPr>
        <sz val="10"/>
        <rFont val="Arial"/>
        <family val="0"/>
        <charset val="1"/>
      </rPr>
      <t xml:space="preserve">CPI </t>
    </r>
    <r>
      <rPr>
        <sz val="10"/>
        <rFont val="Noto Sans CJK SC"/>
        <family val="2"/>
      </rPr>
      <t xml:space="preserve">하방 서프라이즈</t>
    </r>
  </si>
  <si>
    <t xml:space="preserve">2024-09-18</t>
  </si>
  <si>
    <r>
      <rPr>
        <sz val="10"/>
        <rFont val="Arial"/>
        <family val="0"/>
        <charset val="1"/>
      </rPr>
      <t xml:space="preserve">FOMC 50bp </t>
    </r>
    <r>
      <rPr>
        <sz val="10"/>
        <rFont val="Noto Sans CJK SC"/>
        <family val="2"/>
      </rPr>
      <t xml:space="preserve">인하</t>
    </r>
  </si>
  <si>
    <t xml:space="preserve">2024-12-18</t>
  </si>
  <si>
    <r>
      <rPr>
        <sz val="10"/>
        <rFont val="Arial"/>
        <family val="0"/>
        <charset val="1"/>
      </rPr>
      <t xml:space="preserve">FOMC </t>
    </r>
    <r>
      <rPr>
        <sz val="10"/>
        <rFont val="Noto Sans CJK SC"/>
        <family val="2"/>
      </rPr>
      <t xml:space="preserve">매파적 인하</t>
    </r>
  </si>
  <si>
    <t xml:space="preserve">2025-04-02</t>
  </si>
  <si>
    <t xml:space="preserve">미국 상호관세 발표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</si>
</sst>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C0000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0D7E2"/>
      </patternFill>
    </fill>
    <fill>
      <patternFill patternType="solid">
        <fgColor rgb="FF1F3864"/>
        <bgColor rgb="FF333333"/>
      </patternFill>
    </fill>
    <fill>
      <patternFill patternType="solid">
        <fgColor rgb="FFE8F0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4CE"/>
        <bgColor rgb="FFF2F2F2"/>
      </patternFill>
    </fill>
    <fill>
      <patternFill patternType="solid">
        <fgColor rgb="FFEDE7F6"/>
        <bgColor rgb="FFE8F0FB"/>
      </patternFill>
    </fill>
    <fill>
      <patternFill patternType="solid">
        <fgColor rgb="FFE2F0D9"/>
        <bgColor rgb="FFE8F0FB"/>
      </patternFill>
    </fill>
    <fill>
      <patternFill patternType="solid">
        <fgColor rgb="FFFCE4E4"/>
        <bgColor rgb="FFEDE7F6"/>
      </patternFill>
    </fill>
    <fill>
      <patternFill patternType="solid">
        <fgColor rgb="FFF2F2F2"/>
        <bgColor rgb="FFE8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4CE"/>
      <rgbColor rgb="FFE8F0FB"/>
      <rgbColor rgb="FF660066"/>
      <rgbColor rgb="FFFF8080"/>
      <rgbColor rgb="FF0563C1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7F6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g.ny.gov/press-release/2019/attorney-general-james-announces-court-order-against-crypto-currency-company" TargetMode="External"/><Relationship Id="rId2" Type="http://schemas.openxmlformats.org/officeDocument/2006/relationships/hyperlink" Target="https://www.occ.gov/news-issuances/news-releases/2020/nr-occ-2020-125.html" TargetMode="External"/><Relationship Id="rId3" Type="http://schemas.openxmlformats.org/officeDocument/2006/relationships/hyperlink" Target="https://www.occ.gov/news-issuances/news-releases/2021/nr-occ-2021-2.html" TargetMode="External"/><Relationship Id="rId4" Type="http://schemas.openxmlformats.org/officeDocument/2006/relationships/hyperlink" Target="https://www.paxos.com/newsroom/paxos-will-halt-minting-new-busd-tokens" TargetMode="External"/><Relationship Id="rId5" Type="http://schemas.openxmlformats.org/officeDocument/2006/relationships/hyperlink" Target="https://www.sec.gov/newsroom/press-releases/2023-101" TargetMode="External"/><Relationship Id="rId6" Type="http://schemas.openxmlformats.org/officeDocument/2006/relationships/hyperlink" Target="https://www.sec.gov/newsroom/speeches-statements/gensler-statement-spot-bitcoin-011023" TargetMode="External"/><Relationship Id="rId7" Type="http://schemas.openxmlformats.org/officeDocument/2006/relationships/hyperlink" Target="https://www.sec.gov/files/rules/sro/nysearca/2024/34-100224.pdf" TargetMode="External"/><Relationship Id="rId8" Type="http://schemas.openxmlformats.org/officeDocument/2006/relationships/hyperlink" Target="https://www.sec.gov/rules-regulations/staff-guidance/staff-accounting-bulletins/staff-accounting-bulletin-122" TargetMode="External"/><Relationship Id="rId9" Type="http://schemas.openxmlformats.org/officeDocument/2006/relationships/hyperlink" Target="https://www.banking.senate.gov/newsroom/majority/scott-colleagues-pave-the-way-for-historic-digital-asset-legislation" TargetMode="External"/><Relationship Id="rId10" Type="http://schemas.openxmlformats.org/officeDocument/2006/relationships/hyperlink" Target="https://www.whitehouse.gov/presidential-actions/2025/03/establishment-of-the-strategic-bitcoin-reserve-and-united-states-digital-asset-stockpile/" TargetMode="External"/><Relationship Id="rId11" Type="http://schemas.openxmlformats.org/officeDocument/2006/relationships/hyperlink" Target="https://www.banking.senate.gov/newsroom/majority/scott-advances-stablecoin-debanking-legislation-out-of-banking-committee" TargetMode="External"/><Relationship Id="rId12" Type="http://schemas.openxmlformats.org/officeDocument/2006/relationships/hyperlink" Target="https://www.senate.gov/legislative/LIS/roll_call_votes/vote1191/vote_119_1_00240.htm" TargetMode="External"/><Relationship Id="rId13" Type="http://schemas.openxmlformats.org/officeDocument/2006/relationships/hyperlink" Target="https://docs.house.gov/Committee/Calendar/ByEvent.aspx?EventID=118373" TargetMode="External"/><Relationship Id="rId14" Type="http://schemas.openxmlformats.org/officeDocument/2006/relationships/hyperlink" Target="https://www.booker.senate.gov/news/press/booker-statement-on-passage-of-genius-act" TargetMode="External"/><Relationship Id="rId15" Type="http://schemas.openxmlformats.org/officeDocument/2006/relationships/hyperlink" Target="https://www.whitehouse.gov/fact-sheets/2025/07/fact-sheet-president-donald-j-trump-signs-genius-act-into-law/" TargetMode="External"/><Relationship Id="rId16" Type="http://schemas.openxmlformats.org/officeDocument/2006/relationships/hyperlink" Target="https://www.banking.senate.gov/newsroom/majority/scott-statement-on-market-structure-markup" TargetMode="External"/><Relationship Id="rId17" Type="http://schemas.openxmlformats.org/officeDocument/2006/relationships/hyperlink" Target="https://www.cramer.senate.gov/news/press-releases/senate-banking-committee-passes-clarity-act" TargetMode="External"/><Relationship Id="rId18" Type="http://schemas.openxmlformats.org/officeDocument/2006/relationships/hyperlink" Target="https://www.senate.gov/legislative/LIS/roll_call_votes/vote1192/vote_119_2_00234.htm" TargetMode="External"/><Relationship Id="rId19" Type="http://schemas.openxmlformats.org/officeDocument/2006/relationships/hyperlink" Target="https://www.cftc.gov/PressRoom/PressReleases/7654-17" TargetMode="External"/><Relationship Id="rId20" Type="http://schemas.openxmlformats.org/officeDocument/2006/relationships/hyperlink" Target="https://www.gemini.com/blog/gemini-launches-the-gemini-dollar-us-dollars-on-the-blockchain" TargetMode="External"/><Relationship Id="rId21" Type="http://schemas.openxmlformats.org/officeDocument/2006/relationships/hyperlink" Target="https://www.circle.com/blog/introducing-usd-coin" TargetMode="External"/><Relationship Id="rId22" Type="http://schemas.openxmlformats.org/officeDocument/2006/relationships/hyperlink" Target="https://www.coindesk.com/markets/2018/10/15/price-of-stable-cryptocurrency-tether-tanks-to-18-month-low" TargetMode="External"/><Relationship Id="rId23" Type="http://schemas.openxmlformats.org/officeDocument/2006/relationships/hyperlink" Target="https://about.fb.com/ja/news/2019/06/calibra_launch/" TargetMode="External"/><Relationship Id="rId24" Type="http://schemas.openxmlformats.org/officeDocument/2006/relationships/hyperlink" Target="https://ag.ny.gov/press-release/2021/attorney-general-james-ends-virtual-currency-trading-platform-bitfinexs-illegal" TargetMode="External"/><Relationship Id="rId25" Type="http://schemas.openxmlformats.org/officeDocument/2006/relationships/hyperlink" Target="https://usa.visa.com/about-visa/newsroom/press-releases.releaseld.17821.html" TargetMode="External"/><Relationship Id="rId26" Type="http://schemas.openxmlformats.org/officeDocument/2006/relationships/hyperlink" Target="https://home.treasury.gov/news/press-releases/jy0454" TargetMode="External"/><Relationship Id="rId27" Type="http://schemas.openxmlformats.org/officeDocument/2006/relationships/hyperlink" Target="https://libertystreeteconomics.newyorkfed.org/2023/07/runs-on-stablecoins/" TargetMode="External"/><Relationship Id="rId28" Type="http://schemas.openxmlformats.org/officeDocument/2006/relationships/hyperlink" Target="https://www.dfs.ny.gov/industry_guidance/industry_letters/il20220608_issuance_stablecoins" TargetMode="External"/><Relationship Id="rId29" Type="http://schemas.openxmlformats.org/officeDocument/2006/relationships/hyperlink" Target="https://www.federalreserve.gov/econres/notes/feds-notes/in-the-shadow-of-bank-run-lessons-from-the-silicon-valley-bank-failure-and-its-impact-on-stablecoins-20251217.html" TargetMode="External"/><Relationship Id="rId30" Type="http://schemas.openxmlformats.org/officeDocument/2006/relationships/hyperlink" Target="https://www.federalreserve.gov/newsevents/pressreleases/monetary20230312b.htm" TargetMode="External"/><Relationship Id="rId31" Type="http://schemas.openxmlformats.org/officeDocument/2006/relationships/hyperlink" Target="https://newsroom.paypal-corp.com/2023-08-07-PayPal-Launches-U-S-Dollar-Stablecoin" TargetMode="External"/><Relationship Id="rId32" Type="http://schemas.openxmlformats.org/officeDocument/2006/relationships/hyperlink" Target="https://www.eba.europa.eu/sites/default/files/2024-07/7dcd9ce9-96e3-4c5c-8d86-39d7784d1f03/EBA%20statement%20on%20Application%20of%20MiCAR%20to%20ARTs%20and%20EMTs.pdf" TargetMode="External"/><Relationship Id="rId33" Type="http://schemas.openxmlformats.org/officeDocument/2006/relationships/hyperlink" Target="https://www.sec.gov/newsroom/speeches-statements/statement-stablecoins-040425" TargetMode="External"/><Relationship Id="rId34" Type="http://schemas.openxmlformats.org/officeDocument/2006/relationships/hyperlink" Target="https://financialservices.house.gov/news/documentsingle.aspx?DocumentID=409749" TargetMode="External"/><Relationship Id="rId35" Type="http://schemas.openxmlformats.org/officeDocument/2006/relationships/hyperlink" Target="https://www.circle.com/pressroom/circle-announces-pricing-of-upsized-initial-public-offering" TargetMode="External"/><Relationship Id="rId36" Type="http://schemas.openxmlformats.org/officeDocument/2006/relationships/hyperlink" Target="https://www.whitehouse.gov/presidential-actions/2025/08/democratizing-access-to-alternative-assets-for-401k-investors/" TargetMode="External"/><Relationship Id="rId37" Type="http://schemas.openxmlformats.org/officeDocument/2006/relationships/hyperlink" Target="https://investor.circle.com/news/news-details/2025/Circle-Launches-Public-Offering/default.aspx" TargetMode="External"/><Relationship Id="rId38" Type="http://schemas.openxmlformats.org/officeDocument/2006/relationships/hyperlink" Target="https://www.occ.gov/news-issuances/news-releases/2026/nr-occ-2026-9.html" TargetMode="External"/><Relationship Id="rId39" Type="http://schemas.openxmlformats.org/officeDocument/2006/relationships/hyperlink" Target="https://home.treasury.gov/news/press-releases/sb0428" TargetMode="External"/><Relationship Id="rId40" Type="http://schemas.openxmlformats.org/officeDocument/2006/relationships/hyperlink" Target="https://home.treasury.gov/news/press-releases/sb0605" TargetMode="External"/><Relationship Id="rId4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  <c r="C3" s="3" t="n">
        <f aca="false">COUNTIF('이벤트 리스트'!B2:B50,"Main")</f>
        <v>22</v>
      </c>
    </row>
    <row r="4" customFormat="false" ht="29.85" hidden="false" customHeight="false" outlineLevel="0" collapsed="false">
      <c r="A4" s="3" t="s">
        <v>6</v>
      </c>
      <c r="B4" s="4" t="s">
        <v>7</v>
      </c>
      <c r="C4" s="3" t="n">
        <f aca="false">COUNTIF('이벤트 리스트'!B2:B50,"Robust")</f>
        <v>27</v>
      </c>
    </row>
    <row r="5" customFormat="false" ht="15" hidden="false" customHeight="false" outlineLevel="0" collapsed="false">
      <c r="A5" s="1" t="s">
        <v>8</v>
      </c>
      <c r="C5" s="1" t="n">
        <f aca="false">C3+C4</f>
        <v>49</v>
      </c>
    </row>
    <row r="7" customFormat="false" ht="15" hidden="false" customHeight="false" outlineLevel="0" collapsed="false">
      <c r="A7" s="1" t="s">
        <v>9</v>
      </c>
    </row>
    <row r="8" customFormat="false" ht="15" hidden="false" customHeight="false" outlineLevel="0" collapsed="false">
      <c r="A8" s="2" t="s">
        <v>10</v>
      </c>
      <c r="B8" s="2" t="s">
        <v>2</v>
      </c>
      <c r="C8" s="5" t="s">
        <v>4</v>
      </c>
      <c r="D8" s="5" t="s">
        <v>6</v>
      </c>
    </row>
    <row r="9" customFormat="false" ht="15" hidden="false" customHeight="false" outlineLevel="0" collapsed="false">
      <c r="A9" s="4" t="s">
        <v>11</v>
      </c>
      <c r="B9" s="4" t="s">
        <v>12</v>
      </c>
      <c r="C9" s="3" t="n">
        <f aca="false">COUNTIFS('이벤트 리스트'!$H$2:$H$50,A9,'이벤트 리스트'!$B$2:$B$50,"Main")</f>
        <v>9</v>
      </c>
      <c r="D9" s="3" t="n">
        <f aca="false">COUNTIFS('이벤트 리스트'!$H$2:$H$50,A9,'이벤트 리스트'!$B$2:$B$50,"Robust")</f>
        <v>1</v>
      </c>
    </row>
    <row r="10" customFormat="false" ht="15" hidden="false" customHeight="false" outlineLevel="0" collapsed="false">
      <c r="A10" s="4" t="s">
        <v>13</v>
      </c>
      <c r="B10" s="4" t="s">
        <v>14</v>
      </c>
      <c r="C10" s="3" t="n">
        <f aca="false">COUNTIFS('이벤트 리스트'!$H$2:$H$50,A10,'이벤트 리스트'!$B$2:$B$50,"Main")</f>
        <v>10</v>
      </c>
      <c r="D10" s="3" t="n">
        <f aca="false">COUNTIFS('이벤트 리스트'!$H$2:$H$50,A10,'이벤트 리스트'!$B$2:$B$50,"Robust")</f>
        <v>13</v>
      </c>
    </row>
    <row r="11" customFormat="false" ht="15" hidden="false" customHeight="false" outlineLevel="0" collapsed="false">
      <c r="A11" s="4" t="s">
        <v>15</v>
      </c>
      <c r="B11" s="4" t="s">
        <v>16</v>
      </c>
      <c r="C11" s="3" t="n">
        <f aca="false">COUNTIFS('이벤트 리스트'!$H$2:$H$50,A11,'이벤트 리스트'!$B$2:$B$50,"Main")</f>
        <v>2</v>
      </c>
      <c r="D11" s="3" t="n">
        <f aca="false">COUNTIFS('이벤트 리스트'!$H$2:$H$50,A11,'이벤트 리스트'!$B$2:$B$50,"Robust")</f>
        <v>0</v>
      </c>
    </row>
    <row r="12" customFormat="false" ht="15" hidden="false" customHeight="false" outlineLevel="0" collapsed="false">
      <c r="A12" s="4" t="s">
        <v>17</v>
      </c>
      <c r="B12" s="4" t="s">
        <v>18</v>
      </c>
      <c r="C12" s="3" t="n">
        <f aca="false">COUNTIFS('이벤트 리스트'!$H$2:$H$50,A12,'이벤트 리스트'!$B$2:$B$50,"Main")</f>
        <v>0</v>
      </c>
      <c r="D12" s="3" t="n">
        <f aca="false">COUNTIFS('이벤트 리스트'!$H$2:$H$50,A12,'이벤트 리스트'!$B$2:$B$50,"Robust")</f>
        <v>6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3" t="n">
        <f aca="false">COUNTIFS('이벤트 리스트'!$H$2:$H$50,A13,'이벤트 리스트'!$B$2:$B$50,"Main")</f>
        <v>1</v>
      </c>
      <c r="D13" s="3" t="n">
        <f aca="false">COUNTIFS('이벤트 리스트'!$H$2:$H$50,A13,'이벤트 리스트'!$B$2:$B$50,"Robust")</f>
        <v>2</v>
      </c>
    </row>
    <row r="14" customFormat="false" ht="15" hidden="false" customHeight="false" outlineLevel="0" collapsed="false">
      <c r="A14" s="4" t="s">
        <v>21</v>
      </c>
      <c r="B14" s="4" t="s">
        <v>22</v>
      </c>
      <c r="C14" s="3" t="n">
        <f aca="false">COUNTIFS('이벤트 리스트'!$H$2:$H$50,A14,'이벤트 리스트'!$B$2:$B$50,"Main")</f>
        <v>0</v>
      </c>
      <c r="D14" s="3" t="n">
        <f aca="false">COUNTIFS('이벤트 리스트'!$H$2:$H$50,A14,'이벤트 리스트'!$B$2:$B$50,"Robust")</f>
        <v>4</v>
      </c>
    </row>
    <row r="15" customFormat="false" ht="15" hidden="false" customHeight="false" outlineLevel="0" collapsed="false">
      <c r="A15" s="4" t="s">
        <v>23</v>
      </c>
      <c r="B15" s="4" t="s">
        <v>24</v>
      </c>
      <c r="C15" s="3" t="n">
        <f aca="false">COUNTIFS('이벤트 리스트'!$H$2:$H$50,A15,'이벤트 리스트'!$B$2:$B$50,"Main")</f>
        <v>0</v>
      </c>
      <c r="D15" s="3" t="n">
        <f aca="false">COUNTIFS('이벤트 리스트'!$H$2:$H$50,A15,'이벤트 리스트'!$B$2:$B$50,"Robust")</f>
        <v>1</v>
      </c>
    </row>
    <row r="16" customFormat="false" ht="15" hidden="false" customHeight="false" outlineLevel="0" collapsed="false">
      <c r="A16" s="1" t="s">
        <v>8</v>
      </c>
      <c r="C16" s="1" t="n">
        <f aca="false">SUM(C9:C15)</f>
        <v>22</v>
      </c>
      <c r="D16" s="1" t="n">
        <f aca="false">SUM(D9:D15)</f>
        <v>27</v>
      </c>
    </row>
    <row r="17" customFormat="false" ht="15" hidden="false" customHeight="false" outlineLevel="0" collapsed="false">
      <c r="B17" s="3" t="s">
        <v>25</v>
      </c>
    </row>
    <row r="19" customFormat="false" ht="15" hidden="false" customHeight="false" outlineLevel="0" collapsed="false">
      <c r="A19" s="1" t="s">
        <v>26</v>
      </c>
    </row>
    <row r="20" customFormat="false" ht="15" hidden="false" customHeight="false" outlineLevel="0" collapsed="false">
      <c r="A20" s="4" t="s">
        <v>27</v>
      </c>
      <c r="C20" s="3" t="n">
        <f aca="false">COUNTIFS('이벤트 리스트'!$J$2:$J$50,1,'이벤트 리스트'!$B$2:$B$50,"Main")</f>
        <v>16</v>
      </c>
    </row>
    <row r="21" customFormat="false" ht="15" hidden="false" customHeight="false" outlineLevel="0" collapsed="false">
      <c r="A21" s="4" t="s">
        <v>28</v>
      </c>
      <c r="C21" s="3" t="n">
        <f aca="false">COUNTIFS('이벤트 리스트'!$J$2:$J$50,0,'이벤트 리스트'!$B$2:$B$50,"Main")</f>
        <v>0</v>
      </c>
    </row>
    <row r="22" customFormat="false" ht="15" hidden="false" customHeight="false" outlineLevel="0" collapsed="false">
      <c r="A22" s="4" t="s">
        <v>29</v>
      </c>
      <c r="C22" s="3" t="n">
        <f aca="false">COUNTIFS('이벤트 리스트'!$J$2:$J$50,-1,'이벤트 리스트'!$B$2:$B$50,"Main")</f>
        <v>6</v>
      </c>
    </row>
    <row r="24" customFormat="false" ht="15" hidden="false" customHeight="false" outlineLevel="0" collapsed="false">
      <c r="A24" s="1" t="s">
        <v>30</v>
      </c>
    </row>
    <row r="25" customFormat="false" ht="15" hidden="false" customHeight="false" outlineLevel="0" collapsed="false">
      <c r="A25" s="4" t="s">
        <v>31</v>
      </c>
      <c r="B25" s="4" t="s">
        <v>32</v>
      </c>
    </row>
    <row r="26" customFormat="false" ht="29.85" hidden="false" customHeight="false" outlineLevel="0" collapsed="false">
      <c r="A26" s="4" t="s">
        <v>33</v>
      </c>
      <c r="B26" s="4" t="s">
        <v>34</v>
      </c>
    </row>
    <row r="27" customFormat="false" ht="15" hidden="false" customHeight="false" outlineLevel="0" collapsed="false">
      <c r="A27" s="4" t="s">
        <v>35</v>
      </c>
      <c r="B27" s="4" t="s">
        <v>36</v>
      </c>
    </row>
    <row r="28" customFormat="false" ht="15" hidden="false" customHeight="false" outlineLevel="0" collapsed="false">
      <c r="A28" s="4" t="s">
        <v>37</v>
      </c>
      <c r="B28" s="4" t="s">
        <v>38</v>
      </c>
    </row>
    <row r="29" customFormat="false" ht="15" hidden="false" customHeight="false" outlineLevel="0" collapsed="false">
      <c r="A29" s="4" t="s">
        <v>39</v>
      </c>
      <c r="B29" s="4" t="s">
        <v>40</v>
      </c>
    </row>
    <row r="30" customFormat="false" ht="15" hidden="false" customHeight="false" outlineLevel="0" collapsed="false">
      <c r="A30" s="4" t="s">
        <v>41</v>
      </c>
      <c r="B30" s="4" t="s">
        <v>42</v>
      </c>
    </row>
    <row r="31" customFormat="false" ht="15" hidden="false" customHeight="false" outlineLevel="0" collapsed="false">
      <c r="A31" s="4" t="s">
        <v>43</v>
      </c>
      <c r="B31" s="4" t="s">
        <v>44</v>
      </c>
    </row>
    <row r="32" customFormat="false" ht="15" hidden="false" customHeight="false" outlineLevel="0" collapsed="false">
      <c r="A32" s="4" t="s">
        <v>45</v>
      </c>
      <c r="B32" s="4" t="s">
        <v>46</v>
      </c>
    </row>
    <row r="33" customFormat="false" ht="29.85" hidden="false" customHeight="false" outlineLevel="0" collapsed="false">
      <c r="A33" s="4" t="s">
        <v>47</v>
      </c>
      <c r="B33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6" min="3" style="0" width="12"/>
    <col collapsed="false" customWidth="true" hidden="false" outlineLevel="0" max="7" min="7" style="0" width="44"/>
    <col collapsed="false" customWidth="true" hidden="false" outlineLevel="0" max="8" min="8" style="0" width="9"/>
    <col collapsed="false" customWidth="true" hidden="false" outlineLevel="0" max="9" min="9" style="0" width="44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52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44"/>
    <col collapsed="false" customWidth="true" hidden="false" outlineLevel="0" max="17" min="17" style="0" width="40"/>
  </cols>
  <sheetData>
    <row r="1" customFormat="false" ht="30" hidden="false" customHeight="true" outlineLevel="0" collapsed="false">
      <c r="A1" s="6" t="s">
        <v>49</v>
      </c>
      <c r="B1" s="6" t="s">
        <v>1</v>
      </c>
      <c r="C1" s="6" t="s">
        <v>50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10</v>
      </c>
      <c r="I1" s="6" t="s">
        <v>55</v>
      </c>
      <c r="J1" s="6" t="s">
        <v>56</v>
      </c>
      <c r="K1" s="6" t="s">
        <v>39</v>
      </c>
      <c r="L1" s="6" t="s">
        <v>57</v>
      </c>
      <c r="M1" s="6" t="s">
        <v>41</v>
      </c>
      <c r="N1" s="6" t="s">
        <v>43</v>
      </c>
      <c r="O1" s="6" t="s">
        <v>58</v>
      </c>
      <c r="P1" s="6" t="s">
        <v>59</v>
      </c>
      <c r="Q1" s="6" t="s">
        <v>45</v>
      </c>
    </row>
    <row r="2" customFormat="false" ht="29.85" hidden="false" customHeight="false" outlineLevel="0" collapsed="false">
      <c r="A2" s="7" t="s">
        <v>60</v>
      </c>
      <c r="B2" s="7" t="s">
        <v>4</v>
      </c>
      <c r="C2" s="7" t="s">
        <v>61</v>
      </c>
      <c r="D2" s="7" t="s">
        <v>62</v>
      </c>
      <c r="E2" s="7" t="s">
        <v>62</v>
      </c>
      <c r="F2" s="7" t="s">
        <v>62</v>
      </c>
      <c r="G2" s="8" t="s">
        <v>63</v>
      </c>
      <c r="H2" s="9" t="s">
        <v>13</v>
      </c>
      <c r="I2" s="8" t="s">
        <v>64</v>
      </c>
      <c r="J2" s="7" t="n">
        <v>-1</v>
      </c>
      <c r="K2" s="9" t="s">
        <v>65</v>
      </c>
      <c r="L2" s="8" t="s">
        <v>66</v>
      </c>
      <c r="M2" s="10" t="s">
        <v>67</v>
      </c>
      <c r="N2" s="7"/>
      <c r="O2" s="7" t="s">
        <v>68</v>
      </c>
      <c r="P2" s="8" t="s">
        <v>69</v>
      </c>
      <c r="Q2" s="11" t="s">
        <v>70</v>
      </c>
    </row>
    <row r="3" customFormat="false" ht="44" hidden="false" customHeight="false" outlineLevel="0" collapsed="false">
      <c r="A3" s="7" t="s">
        <v>71</v>
      </c>
      <c r="B3" s="7" t="s">
        <v>4</v>
      </c>
      <c r="C3" s="7" t="s">
        <v>72</v>
      </c>
      <c r="D3" s="7" t="s">
        <v>72</v>
      </c>
      <c r="E3" s="7" t="s">
        <v>72</v>
      </c>
      <c r="F3" s="7" t="s">
        <v>73</v>
      </c>
      <c r="G3" s="10" t="s">
        <v>74</v>
      </c>
      <c r="H3" s="9" t="s">
        <v>13</v>
      </c>
      <c r="I3" s="8" t="s">
        <v>75</v>
      </c>
      <c r="J3" s="7" t="n">
        <v>1</v>
      </c>
      <c r="K3" s="9" t="s">
        <v>65</v>
      </c>
      <c r="L3" s="8" t="s">
        <v>76</v>
      </c>
      <c r="M3" s="10" t="s">
        <v>67</v>
      </c>
      <c r="N3" s="7"/>
      <c r="O3" s="7" t="s">
        <v>77</v>
      </c>
      <c r="P3" s="10"/>
      <c r="Q3" s="11" t="s">
        <v>78</v>
      </c>
    </row>
    <row r="4" customFormat="false" ht="44" hidden="false" customHeight="false" outlineLevel="0" collapsed="false">
      <c r="A4" s="7" t="s">
        <v>79</v>
      </c>
      <c r="B4" s="7" t="s">
        <v>4</v>
      </c>
      <c r="C4" s="7" t="s">
        <v>80</v>
      </c>
      <c r="D4" s="7" t="s">
        <v>80</v>
      </c>
      <c r="E4" s="7" t="s">
        <v>80</v>
      </c>
      <c r="F4" s="7" t="s">
        <v>81</v>
      </c>
      <c r="G4" s="10" t="s">
        <v>82</v>
      </c>
      <c r="H4" s="9" t="s">
        <v>13</v>
      </c>
      <c r="I4" s="8" t="s">
        <v>75</v>
      </c>
      <c r="J4" s="7" t="n">
        <v>1</v>
      </c>
      <c r="K4" s="9" t="s">
        <v>65</v>
      </c>
      <c r="L4" s="8" t="s">
        <v>83</v>
      </c>
      <c r="M4" s="8" t="s">
        <v>84</v>
      </c>
      <c r="N4" s="7"/>
      <c r="O4" s="7" t="s">
        <v>85</v>
      </c>
      <c r="P4" s="10" t="s">
        <v>86</v>
      </c>
      <c r="Q4" s="11" t="s">
        <v>87</v>
      </c>
    </row>
    <row r="5" customFormat="false" ht="29.85" hidden="false" customHeight="false" outlineLevel="0" collapsed="false">
      <c r="A5" s="7" t="s">
        <v>88</v>
      </c>
      <c r="B5" s="7" t="s">
        <v>4</v>
      </c>
      <c r="C5" s="7" t="s">
        <v>89</v>
      </c>
      <c r="D5" s="7" t="s">
        <v>89</v>
      </c>
      <c r="E5" s="7" t="s">
        <v>89</v>
      </c>
      <c r="F5" s="7" t="s">
        <v>90</v>
      </c>
      <c r="G5" s="10" t="s">
        <v>91</v>
      </c>
      <c r="H5" s="9" t="s">
        <v>13</v>
      </c>
      <c r="I5" s="8" t="s">
        <v>92</v>
      </c>
      <c r="J5" s="7" t="n">
        <v>1</v>
      </c>
      <c r="K5" s="9" t="s">
        <v>93</v>
      </c>
      <c r="L5" s="8" t="s">
        <v>94</v>
      </c>
      <c r="M5" s="10" t="s">
        <v>67</v>
      </c>
      <c r="N5" s="7" t="s">
        <v>95</v>
      </c>
      <c r="O5" s="9" t="s">
        <v>96</v>
      </c>
      <c r="P5" s="10" t="s">
        <v>97</v>
      </c>
      <c r="Q5" s="12" t="s">
        <v>98</v>
      </c>
    </row>
    <row r="6" customFormat="false" ht="44" hidden="false" customHeight="false" outlineLevel="0" collapsed="false">
      <c r="A6" s="7" t="s">
        <v>99</v>
      </c>
      <c r="B6" s="7" t="s">
        <v>4</v>
      </c>
      <c r="C6" s="7" t="s">
        <v>100</v>
      </c>
      <c r="D6" s="7" t="s">
        <v>100</v>
      </c>
      <c r="E6" s="7" t="s">
        <v>100</v>
      </c>
      <c r="F6" s="7" t="s">
        <v>101</v>
      </c>
      <c r="G6" s="10" t="s">
        <v>102</v>
      </c>
      <c r="H6" s="9" t="s">
        <v>13</v>
      </c>
      <c r="I6" s="8" t="s">
        <v>103</v>
      </c>
      <c r="J6" s="7" t="n">
        <v>-1</v>
      </c>
      <c r="K6" s="9" t="s">
        <v>65</v>
      </c>
      <c r="L6" s="8" t="s">
        <v>104</v>
      </c>
      <c r="M6" s="10" t="s">
        <v>105</v>
      </c>
      <c r="N6" s="7"/>
      <c r="O6" s="7" t="s">
        <v>106</v>
      </c>
      <c r="P6" s="10" t="s">
        <v>107</v>
      </c>
      <c r="Q6" s="11" t="s">
        <v>108</v>
      </c>
    </row>
    <row r="7" customFormat="false" ht="29.85" hidden="false" customHeight="false" outlineLevel="0" collapsed="false">
      <c r="A7" s="7" t="s">
        <v>109</v>
      </c>
      <c r="B7" s="7" t="s">
        <v>4</v>
      </c>
      <c r="C7" s="7" t="s">
        <v>110</v>
      </c>
      <c r="D7" s="7" t="s">
        <v>110</v>
      </c>
      <c r="E7" s="7" t="s">
        <v>110</v>
      </c>
      <c r="F7" s="7" t="s">
        <v>111</v>
      </c>
      <c r="G7" s="10" t="s">
        <v>112</v>
      </c>
      <c r="H7" s="9" t="s">
        <v>13</v>
      </c>
      <c r="I7" s="8" t="s">
        <v>113</v>
      </c>
      <c r="J7" s="7" t="n">
        <v>-1</v>
      </c>
      <c r="K7" s="9" t="s">
        <v>65</v>
      </c>
      <c r="L7" s="8" t="s">
        <v>114</v>
      </c>
      <c r="M7" s="10" t="s">
        <v>115</v>
      </c>
      <c r="N7" s="7" t="s">
        <v>116</v>
      </c>
      <c r="O7" s="9" t="s">
        <v>117</v>
      </c>
      <c r="P7" s="8" t="s">
        <v>118</v>
      </c>
      <c r="Q7" s="11" t="s">
        <v>119</v>
      </c>
    </row>
    <row r="8" customFormat="false" ht="29.85" hidden="false" customHeight="false" outlineLevel="0" collapsed="false">
      <c r="A8" s="7" t="s">
        <v>120</v>
      </c>
      <c r="B8" s="7" t="s">
        <v>4</v>
      </c>
      <c r="C8" s="7" t="s">
        <v>121</v>
      </c>
      <c r="D8" s="7" t="s">
        <v>121</v>
      </c>
      <c r="E8" s="7" t="s">
        <v>121</v>
      </c>
      <c r="F8" s="7" t="s">
        <v>122</v>
      </c>
      <c r="G8" s="10" t="s">
        <v>123</v>
      </c>
      <c r="H8" s="9" t="s">
        <v>19</v>
      </c>
      <c r="I8" s="8" t="s">
        <v>124</v>
      </c>
      <c r="J8" s="7" t="n">
        <v>1</v>
      </c>
      <c r="K8" s="9" t="s">
        <v>65</v>
      </c>
      <c r="L8" s="8" t="s">
        <v>125</v>
      </c>
      <c r="M8" s="10" t="s">
        <v>126</v>
      </c>
      <c r="N8" s="7" t="s">
        <v>127</v>
      </c>
      <c r="O8" s="9" t="s">
        <v>117</v>
      </c>
      <c r="P8" s="10"/>
      <c r="Q8" s="12" t="s">
        <v>98</v>
      </c>
    </row>
    <row r="9" customFormat="false" ht="15" hidden="false" customHeight="false" outlineLevel="0" collapsed="false">
      <c r="A9" s="7" t="s">
        <v>128</v>
      </c>
      <c r="B9" s="7" t="s">
        <v>4</v>
      </c>
      <c r="C9" s="7" t="s">
        <v>129</v>
      </c>
      <c r="D9" s="7" t="s">
        <v>129</v>
      </c>
      <c r="E9" s="7" t="s">
        <v>129</v>
      </c>
      <c r="F9" s="7" t="s">
        <v>130</v>
      </c>
      <c r="G9" s="10" t="s">
        <v>131</v>
      </c>
      <c r="H9" s="9" t="s">
        <v>15</v>
      </c>
      <c r="I9" s="8" t="s">
        <v>132</v>
      </c>
      <c r="J9" s="7" t="n">
        <v>1</v>
      </c>
      <c r="K9" s="9" t="s">
        <v>65</v>
      </c>
      <c r="L9" s="8" t="s">
        <v>133</v>
      </c>
      <c r="M9" s="10" t="s">
        <v>134</v>
      </c>
      <c r="N9" s="7"/>
      <c r="O9" s="9" t="s">
        <v>117</v>
      </c>
      <c r="P9" s="10"/>
      <c r="Q9" s="12" t="s">
        <v>98</v>
      </c>
    </row>
    <row r="10" customFormat="false" ht="29.85" hidden="false" customHeight="false" outlineLevel="0" collapsed="false">
      <c r="A10" s="7" t="s">
        <v>135</v>
      </c>
      <c r="B10" s="7" t="s">
        <v>4</v>
      </c>
      <c r="C10" s="7" t="s">
        <v>136</v>
      </c>
      <c r="D10" s="7" t="s">
        <v>136</v>
      </c>
      <c r="E10" s="7" t="s">
        <v>136</v>
      </c>
      <c r="F10" s="7" t="s">
        <v>137</v>
      </c>
      <c r="G10" s="10" t="s">
        <v>138</v>
      </c>
      <c r="H10" s="9" t="s">
        <v>15</v>
      </c>
      <c r="I10" s="8" t="s">
        <v>139</v>
      </c>
      <c r="J10" s="7" t="n">
        <v>1</v>
      </c>
      <c r="K10" s="9" t="s">
        <v>65</v>
      </c>
      <c r="L10" s="8" t="s">
        <v>140</v>
      </c>
      <c r="M10" s="10" t="s">
        <v>67</v>
      </c>
      <c r="N10" s="7"/>
      <c r="O10" s="9" t="s">
        <v>117</v>
      </c>
      <c r="P10" s="10"/>
      <c r="Q10" s="12" t="s">
        <v>98</v>
      </c>
    </row>
    <row r="11" customFormat="false" ht="29.85" hidden="false" customHeight="false" outlineLevel="0" collapsed="false">
      <c r="A11" s="7" t="s">
        <v>141</v>
      </c>
      <c r="B11" s="7" t="s">
        <v>4</v>
      </c>
      <c r="C11" s="7" t="s">
        <v>142</v>
      </c>
      <c r="D11" s="7" t="s">
        <v>143</v>
      </c>
      <c r="E11" s="7" t="s">
        <v>143</v>
      </c>
      <c r="F11" s="7" t="s">
        <v>143</v>
      </c>
      <c r="G11" s="10" t="s">
        <v>144</v>
      </c>
      <c r="H11" s="9" t="s">
        <v>13</v>
      </c>
      <c r="I11" s="8" t="s">
        <v>145</v>
      </c>
      <c r="J11" s="7" t="n">
        <v>1</v>
      </c>
      <c r="K11" s="9" t="s">
        <v>146</v>
      </c>
      <c r="L11" s="8" t="s">
        <v>147</v>
      </c>
      <c r="M11" s="10" t="s">
        <v>148</v>
      </c>
      <c r="N11" s="7"/>
      <c r="O11" s="9" t="s">
        <v>117</v>
      </c>
      <c r="P11" s="8" t="s">
        <v>149</v>
      </c>
      <c r="Q11" s="11" t="s">
        <v>150</v>
      </c>
    </row>
    <row r="12" customFormat="false" ht="29.85" hidden="false" customHeight="false" outlineLevel="0" collapsed="false">
      <c r="A12" s="7" t="s">
        <v>151</v>
      </c>
      <c r="B12" s="7" t="s">
        <v>4</v>
      </c>
      <c r="C12" s="7" t="s">
        <v>152</v>
      </c>
      <c r="D12" s="7" t="s">
        <v>152</v>
      </c>
      <c r="E12" s="7" t="s">
        <v>152</v>
      </c>
      <c r="F12" s="7" t="s">
        <v>153</v>
      </c>
      <c r="G12" s="10" t="s">
        <v>154</v>
      </c>
      <c r="H12" s="9" t="s">
        <v>13</v>
      </c>
      <c r="I12" s="8" t="s">
        <v>145</v>
      </c>
      <c r="J12" s="7" t="n">
        <v>1</v>
      </c>
      <c r="K12" s="9" t="s">
        <v>65</v>
      </c>
      <c r="L12" s="10" t="s">
        <v>155</v>
      </c>
      <c r="M12" s="10" t="s">
        <v>156</v>
      </c>
      <c r="N12" s="7" t="s">
        <v>157</v>
      </c>
      <c r="O12" s="9" t="s">
        <v>117</v>
      </c>
      <c r="P12" s="8" t="s">
        <v>158</v>
      </c>
      <c r="Q12" s="11" t="s">
        <v>159</v>
      </c>
    </row>
    <row r="13" customFormat="false" ht="44" hidden="false" customHeight="false" outlineLevel="0" collapsed="false">
      <c r="A13" s="7" t="s">
        <v>160</v>
      </c>
      <c r="B13" s="7" t="s">
        <v>4</v>
      </c>
      <c r="C13" s="7" t="s">
        <v>161</v>
      </c>
      <c r="D13" s="7" t="s">
        <v>162</v>
      </c>
      <c r="E13" s="7" t="s">
        <v>162</v>
      </c>
      <c r="F13" s="7" t="s">
        <v>162</v>
      </c>
      <c r="G13" s="10" t="s">
        <v>163</v>
      </c>
      <c r="H13" s="9" t="s">
        <v>13</v>
      </c>
      <c r="I13" s="8" t="s">
        <v>164</v>
      </c>
      <c r="J13" s="7" t="n">
        <v>1</v>
      </c>
      <c r="K13" s="9" t="s">
        <v>93</v>
      </c>
      <c r="L13" s="8" t="s">
        <v>165</v>
      </c>
      <c r="M13" s="10" t="s">
        <v>67</v>
      </c>
      <c r="N13" s="7"/>
      <c r="O13" s="9" t="s">
        <v>117</v>
      </c>
      <c r="P13" s="10"/>
      <c r="Q13" s="11" t="s">
        <v>166</v>
      </c>
    </row>
    <row r="14" customFormat="false" ht="29.85" hidden="false" customHeight="false" outlineLevel="0" collapsed="false">
      <c r="A14" s="7" t="s">
        <v>167</v>
      </c>
      <c r="B14" s="7" t="s">
        <v>4</v>
      </c>
      <c r="C14" s="7" t="s">
        <v>168</v>
      </c>
      <c r="D14" s="7" t="s">
        <v>168</v>
      </c>
      <c r="E14" s="7" t="s">
        <v>168</v>
      </c>
      <c r="F14" s="7" t="s">
        <v>169</v>
      </c>
      <c r="G14" s="10" t="s">
        <v>170</v>
      </c>
      <c r="H14" s="9" t="s">
        <v>11</v>
      </c>
      <c r="I14" s="8" t="s">
        <v>12</v>
      </c>
      <c r="J14" s="7" t="n">
        <v>1</v>
      </c>
      <c r="K14" s="9" t="s">
        <v>93</v>
      </c>
      <c r="L14" s="8" t="s">
        <v>171</v>
      </c>
      <c r="M14" s="8" t="s">
        <v>172</v>
      </c>
      <c r="N14" s="7"/>
      <c r="O14" s="7" t="s">
        <v>173</v>
      </c>
      <c r="P14" s="10"/>
      <c r="Q14" s="11" t="s">
        <v>174</v>
      </c>
    </row>
    <row r="15" customFormat="false" ht="44" hidden="false" customHeight="false" outlineLevel="0" collapsed="false">
      <c r="A15" s="7" t="s">
        <v>175</v>
      </c>
      <c r="B15" s="7" t="s">
        <v>4</v>
      </c>
      <c r="C15" s="7" t="s">
        <v>176</v>
      </c>
      <c r="D15" s="7" t="s">
        <v>177</v>
      </c>
      <c r="E15" s="7" t="s">
        <v>177</v>
      </c>
      <c r="F15" s="7" t="s">
        <v>177</v>
      </c>
      <c r="G15" s="8" t="s">
        <v>178</v>
      </c>
      <c r="H15" s="9" t="s">
        <v>13</v>
      </c>
      <c r="I15" s="8" t="s">
        <v>179</v>
      </c>
      <c r="J15" s="7" t="n">
        <v>1</v>
      </c>
      <c r="K15" s="9" t="s">
        <v>93</v>
      </c>
      <c r="L15" s="8" t="s">
        <v>180</v>
      </c>
      <c r="M15" s="8" t="s">
        <v>181</v>
      </c>
      <c r="N15" s="7" t="s">
        <v>182</v>
      </c>
      <c r="O15" s="9" t="s">
        <v>117</v>
      </c>
      <c r="P15" s="10" t="s">
        <v>183</v>
      </c>
      <c r="Q15" s="11" t="s">
        <v>184</v>
      </c>
    </row>
    <row r="16" customFormat="false" ht="29.85" hidden="false" customHeight="false" outlineLevel="0" collapsed="false">
      <c r="A16" s="7" t="s">
        <v>185</v>
      </c>
      <c r="B16" s="7" t="s">
        <v>4</v>
      </c>
      <c r="C16" s="7" t="s">
        <v>186</v>
      </c>
      <c r="D16" s="7" t="s">
        <v>186</v>
      </c>
      <c r="E16" s="7" t="s">
        <v>186</v>
      </c>
      <c r="F16" s="7" t="s">
        <v>187</v>
      </c>
      <c r="G16" s="10" t="s">
        <v>188</v>
      </c>
      <c r="H16" s="9" t="s">
        <v>11</v>
      </c>
      <c r="I16" s="8" t="s">
        <v>12</v>
      </c>
      <c r="J16" s="7" t="n">
        <v>1</v>
      </c>
      <c r="K16" s="9" t="s">
        <v>146</v>
      </c>
      <c r="L16" s="8" t="s">
        <v>189</v>
      </c>
      <c r="M16" s="10" t="s">
        <v>190</v>
      </c>
      <c r="N16" s="7"/>
      <c r="O16" s="7" t="s">
        <v>191</v>
      </c>
      <c r="P16" s="10"/>
      <c r="Q16" s="11" t="s">
        <v>192</v>
      </c>
    </row>
    <row r="17" customFormat="false" ht="29.85" hidden="false" customHeight="false" outlineLevel="0" collapsed="false">
      <c r="A17" s="7" t="s">
        <v>193</v>
      </c>
      <c r="B17" s="7" t="s">
        <v>4</v>
      </c>
      <c r="C17" s="7" t="s">
        <v>194</v>
      </c>
      <c r="D17" s="7" t="s">
        <v>194</v>
      </c>
      <c r="E17" s="7" t="s">
        <v>194</v>
      </c>
      <c r="F17" s="7" t="s">
        <v>195</v>
      </c>
      <c r="G17" s="10" t="s">
        <v>196</v>
      </c>
      <c r="H17" s="9" t="s">
        <v>11</v>
      </c>
      <c r="I17" s="8" t="s">
        <v>12</v>
      </c>
      <c r="J17" s="7" t="n">
        <v>-1</v>
      </c>
      <c r="K17" s="9" t="s">
        <v>93</v>
      </c>
      <c r="L17" s="8" t="s">
        <v>197</v>
      </c>
      <c r="M17" s="10" t="s">
        <v>198</v>
      </c>
      <c r="N17" s="7"/>
      <c r="O17" s="7" t="s">
        <v>199</v>
      </c>
      <c r="P17" s="8" t="s">
        <v>200</v>
      </c>
      <c r="Q17" s="11" t="s">
        <v>201</v>
      </c>
    </row>
    <row r="18" customFormat="false" ht="29.85" hidden="false" customHeight="false" outlineLevel="0" collapsed="false">
      <c r="A18" s="7" t="s">
        <v>202</v>
      </c>
      <c r="B18" s="7" t="s">
        <v>4</v>
      </c>
      <c r="C18" s="7" t="s">
        <v>203</v>
      </c>
      <c r="D18" s="7" t="s">
        <v>203</v>
      </c>
      <c r="E18" s="7" t="s">
        <v>203</v>
      </c>
      <c r="F18" s="7" t="s">
        <v>204</v>
      </c>
      <c r="G18" s="10" t="s">
        <v>205</v>
      </c>
      <c r="H18" s="9" t="s">
        <v>11</v>
      </c>
      <c r="I18" s="8" t="s">
        <v>12</v>
      </c>
      <c r="J18" s="7" t="n">
        <v>1</v>
      </c>
      <c r="K18" s="9" t="s">
        <v>146</v>
      </c>
      <c r="L18" s="8" t="s">
        <v>206</v>
      </c>
      <c r="M18" s="10" t="s">
        <v>207</v>
      </c>
      <c r="N18" s="7"/>
      <c r="O18" s="7" t="s">
        <v>208</v>
      </c>
      <c r="P18" s="10"/>
      <c r="Q18" s="11" t="s">
        <v>209</v>
      </c>
    </row>
    <row r="19" customFormat="false" ht="29.85" hidden="false" customHeight="false" outlineLevel="0" collapsed="false">
      <c r="A19" s="7" t="s">
        <v>210</v>
      </c>
      <c r="B19" s="7" t="s">
        <v>4</v>
      </c>
      <c r="C19" s="7" t="s">
        <v>211</v>
      </c>
      <c r="D19" s="7" t="s">
        <v>212</v>
      </c>
      <c r="E19" s="7" t="s">
        <v>212</v>
      </c>
      <c r="F19" s="7" t="s">
        <v>212</v>
      </c>
      <c r="G19" s="10" t="s">
        <v>213</v>
      </c>
      <c r="H19" s="9" t="s">
        <v>11</v>
      </c>
      <c r="I19" s="8" t="s">
        <v>12</v>
      </c>
      <c r="J19" s="7" t="n">
        <v>1</v>
      </c>
      <c r="K19" s="9" t="s">
        <v>146</v>
      </c>
      <c r="L19" s="8" t="s">
        <v>214</v>
      </c>
      <c r="M19" s="10" t="s">
        <v>215</v>
      </c>
      <c r="N19" s="7"/>
      <c r="O19" s="7" t="s">
        <v>216</v>
      </c>
      <c r="P19" s="8" t="s">
        <v>217</v>
      </c>
      <c r="Q19" s="11" t="s">
        <v>218</v>
      </c>
    </row>
    <row r="20" customFormat="false" ht="29.85" hidden="false" customHeight="false" outlineLevel="0" collapsed="false">
      <c r="A20" s="7" t="s">
        <v>219</v>
      </c>
      <c r="B20" s="7" t="s">
        <v>4</v>
      </c>
      <c r="C20" s="7" t="s">
        <v>220</v>
      </c>
      <c r="D20" s="7" t="s">
        <v>220</v>
      </c>
      <c r="E20" s="7" t="s">
        <v>220</v>
      </c>
      <c r="F20" s="7" t="s">
        <v>221</v>
      </c>
      <c r="G20" s="10" t="s">
        <v>222</v>
      </c>
      <c r="H20" s="9" t="s">
        <v>11</v>
      </c>
      <c r="I20" s="8" t="s">
        <v>12</v>
      </c>
      <c r="J20" s="7" t="n">
        <v>1</v>
      </c>
      <c r="K20" s="9" t="s">
        <v>146</v>
      </c>
      <c r="L20" s="10" t="s">
        <v>223</v>
      </c>
      <c r="M20" s="10" t="s">
        <v>224</v>
      </c>
      <c r="N20" s="7" t="s">
        <v>225</v>
      </c>
      <c r="O20" s="7" t="s">
        <v>226</v>
      </c>
      <c r="P20" s="10" t="s">
        <v>227</v>
      </c>
      <c r="Q20" s="11" t="s">
        <v>228</v>
      </c>
    </row>
    <row r="21" customFormat="false" ht="29.85" hidden="false" customHeight="false" outlineLevel="0" collapsed="false">
      <c r="A21" s="7" t="s">
        <v>229</v>
      </c>
      <c r="B21" s="7" t="s">
        <v>4</v>
      </c>
      <c r="C21" s="7" t="s">
        <v>230</v>
      </c>
      <c r="D21" s="7" t="s">
        <v>231</v>
      </c>
      <c r="E21" s="7" t="s">
        <v>231</v>
      </c>
      <c r="F21" s="7" t="s">
        <v>231</v>
      </c>
      <c r="G21" s="10" t="s">
        <v>232</v>
      </c>
      <c r="H21" s="9" t="s">
        <v>11</v>
      </c>
      <c r="I21" s="8" t="s">
        <v>12</v>
      </c>
      <c r="J21" s="7" t="n">
        <v>-1</v>
      </c>
      <c r="K21" s="9" t="s">
        <v>65</v>
      </c>
      <c r="L21" s="8" t="s">
        <v>233</v>
      </c>
      <c r="M21" s="10" t="s">
        <v>234</v>
      </c>
      <c r="N21" s="7"/>
      <c r="O21" s="7" t="s">
        <v>235</v>
      </c>
      <c r="P21" s="10"/>
      <c r="Q21" s="11" t="s">
        <v>236</v>
      </c>
    </row>
    <row r="22" customFormat="false" ht="29.85" hidden="false" customHeight="false" outlineLevel="0" collapsed="false">
      <c r="A22" s="7" t="s">
        <v>237</v>
      </c>
      <c r="B22" s="7" t="s">
        <v>4</v>
      </c>
      <c r="C22" s="7" t="s">
        <v>238</v>
      </c>
      <c r="D22" s="7" t="s">
        <v>238</v>
      </c>
      <c r="E22" s="7" t="s">
        <v>238</v>
      </c>
      <c r="F22" s="7" t="s">
        <v>239</v>
      </c>
      <c r="G22" s="10" t="s">
        <v>240</v>
      </c>
      <c r="H22" s="9" t="s">
        <v>11</v>
      </c>
      <c r="I22" s="8" t="s">
        <v>12</v>
      </c>
      <c r="J22" s="7" t="n">
        <v>1</v>
      </c>
      <c r="K22" s="9" t="s">
        <v>146</v>
      </c>
      <c r="L22" s="8" t="s">
        <v>241</v>
      </c>
      <c r="M22" s="10" t="s">
        <v>242</v>
      </c>
      <c r="N22" s="7" t="s">
        <v>243</v>
      </c>
      <c r="O22" s="7" t="s">
        <v>244</v>
      </c>
      <c r="P22" s="10"/>
      <c r="Q22" s="11" t="s">
        <v>245</v>
      </c>
    </row>
    <row r="23" customFormat="false" ht="29.85" hidden="false" customHeight="false" outlineLevel="0" collapsed="false">
      <c r="A23" s="7" t="s">
        <v>246</v>
      </c>
      <c r="B23" s="7" t="s">
        <v>4</v>
      </c>
      <c r="C23" s="7" t="s">
        <v>247</v>
      </c>
      <c r="D23" s="7" t="s">
        <v>247</v>
      </c>
      <c r="E23" s="7" t="s">
        <v>247</v>
      </c>
      <c r="F23" s="7" t="s">
        <v>248</v>
      </c>
      <c r="G23" s="10" t="s">
        <v>249</v>
      </c>
      <c r="H23" s="9" t="s">
        <v>11</v>
      </c>
      <c r="I23" s="8" t="s">
        <v>12</v>
      </c>
      <c r="J23" s="7" t="n">
        <v>-1</v>
      </c>
      <c r="K23" s="9" t="s">
        <v>93</v>
      </c>
      <c r="L23" s="8" t="s">
        <v>250</v>
      </c>
      <c r="M23" s="10" t="s">
        <v>251</v>
      </c>
      <c r="N23" s="7"/>
      <c r="O23" s="7" t="s">
        <v>252</v>
      </c>
      <c r="P23" s="10"/>
      <c r="Q23" s="11" t="s">
        <v>253</v>
      </c>
    </row>
    <row r="24" customFormat="false" ht="44" hidden="false" customHeight="false" outlineLevel="0" collapsed="false">
      <c r="A24" s="13" t="s">
        <v>254</v>
      </c>
      <c r="B24" s="13" t="s">
        <v>6</v>
      </c>
      <c r="C24" s="13" t="s">
        <v>255</v>
      </c>
      <c r="D24" s="13" t="s">
        <v>255</v>
      </c>
      <c r="E24" s="13" t="s">
        <v>255</v>
      </c>
      <c r="F24" s="13" t="s">
        <v>256</v>
      </c>
      <c r="G24" s="14" t="s">
        <v>257</v>
      </c>
      <c r="H24" s="15" t="s">
        <v>13</v>
      </c>
      <c r="I24" s="16" t="s">
        <v>258</v>
      </c>
      <c r="J24" s="13" t="n">
        <v>1</v>
      </c>
      <c r="K24" s="15" t="s">
        <v>93</v>
      </c>
      <c r="L24" s="16" t="s">
        <v>259</v>
      </c>
      <c r="M24" s="14" t="s">
        <v>67</v>
      </c>
      <c r="N24" s="13"/>
      <c r="O24" s="15" t="s">
        <v>117</v>
      </c>
      <c r="P24" s="16" t="s">
        <v>260</v>
      </c>
      <c r="Q24" s="17" t="s">
        <v>261</v>
      </c>
    </row>
    <row r="25" customFormat="false" ht="44" hidden="false" customHeight="false" outlineLevel="0" collapsed="false">
      <c r="A25" s="13" t="s">
        <v>262</v>
      </c>
      <c r="B25" s="13" t="s">
        <v>6</v>
      </c>
      <c r="C25" s="13" t="s">
        <v>263</v>
      </c>
      <c r="D25" s="13" t="s">
        <v>263</v>
      </c>
      <c r="E25" s="13" t="s">
        <v>263</v>
      </c>
      <c r="F25" s="13" t="s">
        <v>264</v>
      </c>
      <c r="G25" s="14" t="s">
        <v>265</v>
      </c>
      <c r="H25" s="15" t="s">
        <v>13</v>
      </c>
      <c r="I25" s="16" t="s">
        <v>266</v>
      </c>
      <c r="J25" s="13" t="n">
        <v>1</v>
      </c>
      <c r="K25" s="15" t="s">
        <v>65</v>
      </c>
      <c r="L25" s="16" t="s">
        <v>267</v>
      </c>
      <c r="M25" s="14" t="s">
        <v>67</v>
      </c>
      <c r="N25" s="13"/>
      <c r="O25" s="13" t="s">
        <v>268</v>
      </c>
      <c r="P25" s="14"/>
      <c r="Q25" s="17" t="s">
        <v>269</v>
      </c>
    </row>
    <row r="26" customFormat="false" ht="29.85" hidden="false" customHeight="false" outlineLevel="0" collapsed="false">
      <c r="A26" s="13" t="s">
        <v>270</v>
      </c>
      <c r="B26" s="13" t="s">
        <v>6</v>
      </c>
      <c r="C26" s="13" t="s">
        <v>271</v>
      </c>
      <c r="D26" s="13" t="s">
        <v>271</v>
      </c>
      <c r="E26" s="13" t="s">
        <v>271</v>
      </c>
      <c r="F26" s="13" t="s">
        <v>272</v>
      </c>
      <c r="G26" s="14" t="s">
        <v>273</v>
      </c>
      <c r="H26" s="15" t="s">
        <v>17</v>
      </c>
      <c r="I26" s="16" t="s">
        <v>18</v>
      </c>
      <c r="J26" s="13" t="n">
        <v>1</v>
      </c>
      <c r="K26" s="15" t="s">
        <v>146</v>
      </c>
      <c r="L26" s="16" t="s">
        <v>274</v>
      </c>
      <c r="M26" s="14" t="s">
        <v>67</v>
      </c>
      <c r="N26" s="13"/>
      <c r="O26" s="13" t="s">
        <v>275</v>
      </c>
      <c r="P26" s="14"/>
      <c r="Q26" s="17" t="s">
        <v>276</v>
      </c>
    </row>
    <row r="27" customFormat="false" ht="29.85" hidden="false" customHeight="false" outlineLevel="0" collapsed="false">
      <c r="A27" s="13" t="s">
        <v>277</v>
      </c>
      <c r="B27" s="13" t="s">
        <v>6</v>
      </c>
      <c r="C27" s="13" t="s">
        <v>278</v>
      </c>
      <c r="D27" s="13" t="s">
        <v>278</v>
      </c>
      <c r="E27" s="13" t="s">
        <v>278</v>
      </c>
      <c r="F27" s="13" t="s">
        <v>279</v>
      </c>
      <c r="G27" s="14" t="s">
        <v>280</v>
      </c>
      <c r="H27" s="15" t="s">
        <v>21</v>
      </c>
      <c r="I27" s="16" t="s">
        <v>22</v>
      </c>
      <c r="J27" s="13" t="n">
        <v>-1</v>
      </c>
      <c r="K27" s="15" t="s">
        <v>65</v>
      </c>
      <c r="L27" s="16" t="s">
        <v>281</v>
      </c>
      <c r="M27" s="14" t="s">
        <v>67</v>
      </c>
      <c r="N27" s="13"/>
      <c r="O27" s="13" t="s">
        <v>282</v>
      </c>
      <c r="P27" s="14"/>
      <c r="Q27" s="17" t="s">
        <v>283</v>
      </c>
    </row>
    <row r="28" customFormat="false" ht="29.85" hidden="false" customHeight="false" outlineLevel="0" collapsed="false">
      <c r="A28" s="13" t="s">
        <v>284</v>
      </c>
      <c r="B28" s="13" t="s">
        <v>6</v>
      </c>
      <c r="C28" s="13" t="s">
        <v>285</v>
      </c>
      <c r="D28" s="13" t="s">
        <v>285</v>
      </c>
      <c r="E28" s="13" t="s">
        <v>285</v>
      </c>
      <c r="F28" s="13" t="s">
        <v>286</v>
      </c>
      <c r="G28" s="14" t="s">
        <v>287</v>
      </c>
      <c r="H28" s="15" t="s">
        <v>17</v>
      </c>
      <c r="I28" s="16" t="s">
        <v>18</v>
      </c>
      <c r="J28" s="13" t="n">
        <v>1</v>
      </c>
      <c r="K28" s="15" t="s">
        <v>93</v>
      </c>
      <c r="L28" s="16" t="s">
        <v>288</v>
      </c>
      <c r="M28" s="14" t="s">
        <v>289</v>
      </c>
      <c r="N28" s="13"/>
      <c r="O28" s="13" t="s">
        <v>290</v>
      </c>
      <c r="P28" s="14"/>
      <c r="Q28" s="17" t="s">
        <v>291</v>
      </c>
    </row>
    <row r="29" customFormat="false" ht="29.85" hidden="false" customHeight="false" outlineLevel="0" collapsed="false">
      <c r="A29" s="13" t="s">
        <v>292</v>
      </c>
      <c r="B29" s="13" t="s">
        <v>6</v>
      </c>
      <c r="C29" s="13" t="s">
        <v>293</v>
      </c>
      <c r="D29" s="13" t="s">
        <v>293</v>
      </c>
      <c r="E29" s="13" t="s">
        <v>293</v>
      </c>
      <c r="F29" s="13" t="s">
        <v>294</v>
      </c>
      <c r="G29" s="16" t="s">
        <v>295</v>
      </c>
      <c r="H29" s="15" t="s">
        <v>13</v>
      </c>
      <c r="I29" s="16" t="s">
        <v>296</v>
      </c>
      <c r="J29" s="13" t="n">
        <v>0</v>
      </c>
      <c r="K29" s="15" t="s">
        <v>93</v>
      </c>
      <c r="L29" s="16" t="s">
        <v>297</v>
      </c>
      <c r="M29" s="16" t="s">
        <v>298</v>
      </c>
      <c r="N29" s="13"/>
      <c r="O29" s="13" t="s">
        <v>299</v>
      </c>
      <c r="P29" s="14" t="s">
        <v>300</v>
      </c>
      <c r="Q29" s="17" t="s">
        <v>301</v>
      </c>
    </row>
    <row r="30" customFormat="false" ht="29.85" hidden="false" customHeight="false" outlineLevel="0" collapsed="false">
      <c r="A30" s="13" t="s">
        <v>302</v>
      </c>
      <c r="B30" s="13" t="s">
        <v>6</v>
      </c>
      <c r="C30" s="13" t="s">
        <v>303</v>
      </c>
      <c r="D30" s="13" t="s">
        <v>303</v>
      </c>
      <c r="E30" s="13" t="s">
        <v>303</v>
      </c>
      <c r="F30" s="13" t="s">
        <v>304</v>
      </c>
      <c r="G30" s="14" t="s">
        <v>305</v>
      </c>
      <c r="H30" s="15" t="s">
        <v>17</v>
      </c>
      <c r="I30" s="16" t="s">
        <v>18</v>
      </c>
      <c r="J30" s="13" t="n">
        <v>1</v>
      </c>
      <c r="K30" s="15" t="s">
        <v>65</v>
      </c>
      <c r="L30" s="16" t="s">
        <v>306</v>
      </c>
      <c r="M30" s="14" t="s">
        <v>67</v>
      </c>
      <c r="N30" s="13"/>
      <c r="O30" s="13" t="s">
        <v>307</v>
      </c>
      <c r="P30" s="14"/>
      <c r="Q30" s="17" t="s">
        <v>308</v>
      </c>
    </row>
    <row r="31" customFormat="false" ht="44" hidden="false" customHeight="false" outlineLevel="0" collapsed="false">
      <c r="A31" s="13" t="s">
        <v>309</v>
      </c>
      <c r="B31" s="13" t="s">
        <v>6</v>
      </c>
      <c r="C31" s="13" t="s">
        <v>310</v>
      </c>
      <c r="D31" s="13" t="s">
        <v>310</v>
      </c>
      <c r="E31" s="13" t="s">
        <v>310</v>
      </c>
      <c r="F31" s="13" t="s">
        <v>311</v>
      </c>
      <c r="G31" s="16" t="s">
        <v>312</v>
      </c>
      <c r="H31" s="15" t="s">
        <v>13</v>
      </c>
      <c r="I31" s="16" t="s">
        <v>313</v>
      </c>
      <c r="J31" s="13" t="n">
        <v>0</v>
      </c>
      <c r="K31" s="15" t="s">
        <v>93</v>
      </c>
      <c r="L31" s="16" t="s">
        <v>314</v>
      </c>
      <c r="M31" s="14" t="s">
        <v>315</v>
      </c>
      <c r="N31" s="13"/>
      <c r="O31" s="13" t="s">
        <v>316</v>
      </c>
      <c r="P31" s="14" t="s">
        <v>317</v>
      </c>
      <c r="Q31" s="17" t="s">
        <v>318</v>
      </c>
    </row>
    <row r="32" customFormat="false" ht="29.85" hidden="false" customHeight="false" outlineLevel="0" collapsed="false">
      <c r="A32" s="13" t="s">
        <v>319</v>
      </c>
      <c r="B32" s="13" t="s">
        <v>6</v>
      </c>
      <c r="C32" s="13" t="s">
        <v>320</v>
      </c>
      <c r="D32" s="13" t="s">
        <v>320</v>
      </c>
      <c r="E32" s="13" t="s">
        <v>320</v>
      </c>
      <c r="F32" s="13" t="s">
        <v>321</v>
      </c>
      <c r="G32" s="14" t="s">
        <v>322</v>
      </c>
      <c r="H32" s="15" t="s">
        <v>21</v>
      </c>
      <c r="I32" s="16" t="s">
        <v>22</v>
      </c>
      <c r="J32" s="13" t="n">
        <v>-1</v>
      </c>
      <c r="K32" s="15" t="s">
        <v>65</v>
      </c>
      <c r="L32" s="16" t="s">
        <v>323</v>
      </c>
      <c r="M32" s="14" t="s">
        <v>324</v>
      </c>
      <c r="N32" s="13"/>
      <c r="O32" s="13" t="s">
        <v>325</v>
      </c>
      <c r="P32" s="14"/>
      <c r="Q32" s="17" t="s">
        <v>326</v>
      </c>
    </row>
    <row r="33" customFormat="false" ht="29.85" hidden="false" customHeight="false" outlineLevel="0" collapsed="false">
      <c r="A33" s="13" t="s">
        <v>327</v>
      </c>
      <c r="B33" s="13" t="s">
        <v>6</v>
      </c>
      <c r="C33" s="13" t="s">
        <v>328</v>
      </c>
      <c r="D33" s="13" t="s">
        <v>328</v>
      </c>
      <c r="E33" s="13" t="s">
        <v>328</v>
      </c>
      <c r="F33" s="13" t="s">
        <v>329</v>
      </c>
      <c r="G33" s="14" t="s">
        <v>330</v>
      </c>
      <c r="H33" s="15" t="s">
        <v>13</v>
      </c>
      <c r="I33" s="16" t="s">
        <v>331</v>
      </c>
      <c r="J33" s="13" t="n">
        <v>1</v>
      </c>
      <c r="K33" s="15" t="s">
        <v>93</v>
      </c>
      <c r="L33" s="16" t="s">
        <v>332</v>
      </c>
      <c r="M33" s="14" t="s">
        <v>333</v>
      </c>
      <c r="N33" s="13"/>
      <c r="O33" s="13" t="s">
        <v>334</v>
      </c>
      <c r="P33" s="14" t="s">
        <v>335</v>
      </c>
      <c r="Q33" s="17" t="s">
        <v>336</v>
      </c>
    </row>
    <row r="34" customFormat="false" ht="26.85" hidden="false" customHeight="false" outlineLevel="0" collapsed="false">
      <c r="A34" s="13" t="s">
        <v>337</v>
      </c>
      <c r="B34" s="13" t="s">
        <v>6</v>
      </c>
      <c r="C34" s="13" t="s">
        <v>338</v>
      </c>
      <c r="D34" s="13" t="s">
        <v>338</v>
      </c>
      <c r="E34" s="13" t="s">
        <v>338</v>
      </c>
      <c r="F34" s="13" t="s">
        <v>339</v>
      </c>
      <c r="G34" s="14" t="s">
        <v>340</v>
      </c>
      <c r="H34" s="15" t="s">
        <v>21</v>
      </c>
      <c r="I34" s="16" t="s">
        <v>22</v>
      </c>
      <c r="J34" s="13" t="n">
        <v>-1</v>
      </c>
      <c r="K34" s="15" t="s">
        <v>65</v>
      </c>
      <c r="L34" s="16" t="s">
        <v>341</v>
      </c>
      <c r="M34" s="16" t="s">
        <v>342</v>
      </c>
      <c r="N34" s="13"/>
      <c r="O34" s="15" t="s">
        <v>117</v>
      </c>
      <c r="P34" s="14" t="s">
        <v>343</v>
      </c>
      <c r="Q34" s="18" t="s">
        <v>98</v>
      </c>
    </row>
    <row r="35" customFormat="false" ht="29.85" hidden="false" customHeight="false" outlineLevel="0" collapsed="false">
      <c r="A35" s="13" t="s">
        <v>344</v>
      </c>
      <c r="B35" s="13" t="s">
        <v>6</v>
      </c>
      <c r="C35" s="13" t="s">
        <v>345</v>
      </c>
      <c r="D35" s="13" t="s">
        <v>346</v>
      </c>
      <c r="E35" s="13" t="s">
        <v>347</v>
      </c>
      <c r="F35" s="13" t="s">
        <v>347</v>
      </c>
      <c r="G35" s="14" t="s">
        <v>348</v>
      </c>
      <c r="H35" s="15" t="s">
        <v>21</v>
      </c>
      <c r="I35" s="16" t="s">
        <v>22</v>
      </c>
      <c r="J35" s="13" t="n">
        <v>-1</v>
      </c>
      <c r="K35" s="15" t="s">
        <v>65</v>
      </c>
      <c r="L35" s="16" t="s">
        <v>349</v>
      </c>
      <c r="M35" s="14" t="s">
        <v>350</v>
      </c>
      <c r="N35" s="13" t="s">
        <v>351</v>
      </c>
      <c r="O35" s="13" t="s">
        <v>352</v>
      </c>
      <c r="P35" s="14" t="s">
        <v>353</v>
      </c>
      <c r="Q35" s="17" t="s">
        <v>354</v>
      </c>
    </row>
    <row r="36" customFormat="false" ht="15" hidden="false" customHeight="false" outlineLevel="0" collapsed="false">
      <c r="A36" s="13" t="s">
        <v>355</v>
      </c>
      <c r="B36" s="13" t="s">
        <v>6</v>
      </c>
      <c r="C36" s="13" t="s">
        <v>356</v>
      </c>
      <c r="D36" s="13" t="s">
        <v>356</v>
      </c>
      <c r="E36" s="13" t="s">
        <v>347</v>
      </c>
      <c r="F36" s="13" t="s">
        <v>347</v>
      </c>
      <c r="G36" s="16" t="s">
        <v>357</v>
      </c>
      <c r="H36" s="15" t="s">
        <v>23</v>
      </c>
      <c r="I36" s="16" t="s">
        <v>24</v>
      </c>
      <c r="J36" s="13" t="n">
        <v>1</v>
      </c>
      <c r="K36" s="15" t="s">
        <v>65</v>
      </c>
      <c r="L36" s="16" t="s">
        <v>358</v>
      </c>
      <c r="M36" s="14" t="s">
        <v>67</v>
      </c>
      <c r="N36" s="13" t="s">
        <v>351</v>
      </c>
      <c r="O36" s="13" t="s">
        <v>359</v>
      </c>
      <c r="P36" s="14" t="s">
        <v>360</v>
      </c>
      <c r="Q36" s="17" t="s">
        <v>361</v>
      </c>
    </row>
    <row r="37" customFormat="false" ht="29.85" hidden="false" customHeight="false" outlineLevel="0" collapsed="false">
      <c r="A37" s="13" t="s">
        <v>362</v>
      </c>
      <c r="B37" s="13" t="s">
        <v>6</v>
      </c>
      <c r="C37" s="13" t="s">
        <v>363</v>
      </c>
      <c r="D37" s="13" t="s">
        <v>363</v>
      </c>
      <c r="E37" s="13" t="s">
        <v>363</v>
      </c>
      <c r="F37" s="13" t="s">
        <v>364</v>
      </c>
      <c r="G37" s="14" t="s">
        <v>365</v>
      </c>
      <c r="H37" s="15" t="s">
        <v>17</v>
      </c>
      <c r="I37" s="16" t="s">
        <v>18</v>
      </c>
      <c r="J37" s="13" t="n">
        <v>1</v>
      </c>
      <c r="K37" s="15" t="s">
        <v>65</v>
      </c>
      <c r="L37" s="16" t="s">
        <v>366</v>
      </c>
      <c r="M37" s="14" t="s">
        <v>367</v>
      </c>
      <c r="N37" s="13"/>
      <c r="O37" s="13" t="s">
        <v>368</v>
      </c>
      <c r="P37" s="14"/>
      <c r="Q37" s="17" t="s">
        <v>369</v>
      </c>
    </row>
    <row r="38" customFormat="false" ht="29.85" hidden="false" customHeight="false" outlineLevel="0" collapsed="false">
      <c r="A38" s="13" t="s">
        <v>370</v>
      </c>
      <c r="B38" s="13" t="s">
        <v>6</v>
      </c>
      <c r="C38" s="13" t="s">
        <v>371</v>
      </c>
      <c r="D38" s="13" t="s">
        <v>371</v>
      </c>
      <c r="E38" s="13" t="s">
        <v>371</v>
      </c>
      <c r="F38" s="13" t="s">
        <v>372</v>
      </c>
      <c r="G38" s="14" t="s">
        <v>373</v>
      </c>
      <c r="H38" s="15" t="s">
        <v>17</v>
      </c>
      <c r="I38" s="16" t="s">
        <v>18</v>
      </c>
      <c r="J38" s="13" t="n">
        <v>1</v>
      </c>
      <c r="K38" s="15" t="s">
        <v>93</v>
      </c>
      <c r="L38" s="16" t="s">
        <v>374</v>
      </c>
      <c r="M38" s="14" t="s">
        <v>375</v>
      </c>
      <c r="N38" s="13"/>
      <c r="O38" s="15" t="s">
        <v>117</v>
      </c>
      <c r="P38" s="14"/>
      <c r="Q38" s="18" t="s">
        <v>98</v>
      </c>
    </row>
    <row r="39" customFormat="false" ht="29.85" hidden="false" customHeight="false" outlineLevel="0" collapsed="false">
      <c r="A39" s="13" t="s">
        <v>376</v>
      </c>
      <c r="B39" s="13" t="s">
        <v>6</v>
      </c>
      <c r="C39" s="13" t="s">
        <v>377</v>
      </c>
      <c r="D39" s="13" t="s">
        <v>377</v>
      </c>
      <c r="E39" s="13" t="s">
        <v>378</v>
      </c>
      <c r="F39" s="13" t="s">
        <v>378</v>
      </c>
      <c r="G39" s="14" t="s">
        <v>379</v>
      </c>
      <c r="H39" s="15" t="s">
        <v>13</v>
      </c>
      <c r="I39" s="16" t="s">
        <v>380</v>
      </c>
      <c r="J39" s="13" t="n">
        <v>1</v>
      </c>
      <c r="K39" s="15" t="s">
        <v>146</v>
      </c>
      <c r="L39" s="16" t="s">
        <v>381</v>
      </c>
      <c r="M39" s="14" t="s">
        <v>67</v>
      </c>
      <c r="N39" s="13"/>
      <c r="O39" s="13" t="s">
        <v>382</v>
      </c>
      <c r="P39" s="16" t="s">
        <v>383</v>
      </c>
      <c r="Q39" s="17" t="s">
        <v>384</v>
      </c>
    </row>
    <row r="40" customFormat="false" ht="44" hidden="false" customHeight="false" outlineLevel="0" collapsed="false">
      <c r="A40" s="13" t="s">
        <v>385</v>
      </c>
      <c r="B40" s="13" t="s">
        <v>6</v>
      </c>
      <c r="C40" s="13" t="s">
        <v>386</v>
      </c>
      <c r="D40" s="13" t="s">
        <v>386</v>
      </c>
      <c r="E40" s="13" t="s">
        <v>386</v>
      </c>
      <c r="F40" s="13" t="s">
        <v>387</v>
      </c>
      <c r="G40" s="14" t="s">
        <v>388</v>
      </c>
      <c r="H40" s="15" t="s">
        <v>17</v>
      </c>
      <c r="I40" s="16" t="s">
        <v>389</v>
      </c>
      <c r="J40" s="13" t="n">
        <v>1</v>
      </c>
      <c r="K40" s="15" t="s">
        <v>146</v>
      </c>
      <c r="L40" s="16" t="s">
        <v>390</v>
      </c>
      <c r="M40" s="14" t="s">
        <v>67</v>
      </c>
      <c r="N40" s="13"/>
      <c r="O40" s="15" t="s">
        <v>117</v>
      </c>
      <c r="P40" s="14"/>
      <c r="Q40" s="18" t="s">
        <v>98</v>
      </c>
    </row>
    <row r="41" customFormat="false" ht="29.85" hidden="false" customHeight="false" outlineLevel="0" collapsed="false">
      <c r="A41" s="13" t="s">
        <v>391</v>
      </c>
      <c r="B41" s="13" t="s">
        <v>6</v>
      </c>
      <c r="C41" s="13" t="s">
        <v>392</v>
      </c>
      <c r="D41" s="13" t="s">
        <v>392</v>
      </c>
      <c r="E41" s="13" t="s">
        <v>392</v>
      </c>
      <c r="F41" s="13" t="s">
        <v>393</v>
      </c>
      <c r="G41" s="14" t="s">
        <v>394</v>
      </c>
      <c r="H41" s="15" t="s">
        <v>13</v>
      </c>
      <c r="I41" s="16" t="s">
        <v>395</v>
      </c>
      <c r="J41" s="13" t="n">
        <v>1</v>
      </c>
      <c r="K41" s="15" t="s">
        <v>93</v>
      </c>
      <c r="L41" s="16" t="s">
        <v>396</v>
      </c>
      <c r="M41" s="14" t="s">
        <v>397</v>
      </c>
      <c r="N41" s="13"/>
      <c r="O41" s="15" t="s">
        <v>117</v>
      </c>
      <c r="P41" s="14"/>
      <c r="Q41" s="18" t="s">
        <v>98</v>
      </c>
    </row>
    <row r="42" customFormat="false" ht="29.85" hidden="false" customHeight="false" outlineLevel="0" collapsed="false">
      <c r="A42" s="13" t="s">
        <v>398</v>
      </c>
      <c r="B42" s="13" t="s">
        <v>6</v>
      </c>
      <c r="C42" s="13" t="s">
        <v>399</v>
      </c>
      <c r="D42" s="13" t="s">
        <v>399</v>
      </c>
      <c r="E42" s="13" t="s">
        <v>399</v>
      </c>
      <c r="F42" s="13" t="s">
        <v>400</v>
      </c>
      <c r="G42" s="14" t="s">
        <v>401</v>
      </c>
      <c r="H42" s="15" t="s">
        <v>13</v>
      </c>
      <c r="I42" s="16" t="s">
        <v>402</v>
      </c>
      <c r="J42" s="13" t="n">
        <v>1</v>
      </c>
      <c r="K42" s="15" t="s">
        <v>93</v>
      </c>
      <c r="L42" s="16" t="s">
        <v>403</v>
      </c>
      <c r="M42" s="16" t="s">
        <v>404</v>
      </c>
      <c r="N42" s="13"/>
      <c r="O42" s="15" t="s">
        <v>117</v>
      </c>
      <c r="P42" s="14"/>
      <c r="Q42" s="17" t="s">
        <v>405</v>
      </c>
    </row>
    <row r="43" customFormat="false" ht="29.85" hidden="false" customHeight="false" outlineLevel="0" collapsed="false">
      <c r="A43" s="13" t="s">
        <v>406</v>
      </c>
      <c r="B43" s="13" t="s">
        <v>6</v>
      </c>
      <c r="C43" s="13" t="s">
        <v>407</v>
      </c>
      <c r="D43" s="13" t="s">
        <v>407</v>
      </c>
      <c r="E43" s="13" t="s">
        <v>407</v>
      </c>
      <c r="F43" s="13" t="s">
        <v>408</v>
      </c>
      <c r="G43" s="14" t="s">
        <v>409</v>
      </c>
      <c r="H43" s="15" t="s">
        <v>11</v>
      </c>
      <c r="I43" s="16" t="s">
        <v>12</v>
      </c>
      <c r="J43" s="13" t="n">
        <v>1</v>
      </c>
      <c r="K43" s="15" t="s">
        <v>146</v>
      </c>
      <c r="L43" s="16" t="s">
        <v>410</v>
      </c>
      <c r="M43" s="14" t="s">
        <v>67</v>
      </c>
      <c r="N43" s="13"/>
      <c r="O43" s="13" t="s">
        <v>411</v>
      </c>
      <c r="P43" s="14"/>
      <c r="Q43" s="17" t="s">
        <v>412</v>
      </c>
    </row>
    <row r="44" customFormat="false" ht="15" hidden="false" customHeight="false" outlineLevel="0" collapsed="false">
      <c r="A44" s="13" t="s">
        <v>413</v>
      </c>
      <c r="B44" s="13" t="s">
        <v>6</v>
      </c>
      <c r="C44" s="13" t="s">
        <v>414</v>
      </c>
      <c r="D44" s="13" t="s">
        <v>414</v>
      </c>
      <c r="E44" s="13" t="s">
        <v>414</v>
      </c>
      <c r="F44" s="13" t="s">
        <v>415</v>
      </c>
      <c r="G44" s="14" t="s">
        <v>416</v>
      </c>
      <c r="H44" s="15" t="s">
        <v>19</v>
      </c>
      <c r="I44" s="16" t="s">
        <v>20</v>
      </c>
      <c r="J44" s="13" t="n">
        <v>1</v>
      </c>
      <c r="K44" s="15" t="s">
        <v>146</v>
      </c>
      <c r="L44" s="16" t="s">
        <v>417</v>
      </c>
      <c r="M44" s="14" t="s">
        <v>67</v>
      </c>
      <c r="N44" s="13"/>
      <c r="O44" s="13" t="s">
        <v>418</v>
      </c>
      <c r="P44" s="14"/>
      <c r="Q44" s="17" t="s">
        <v>419</v>
      </c>
    </row>
    <row r="45" customFormat="false" ht="29.85" hidden="false" customHeight="false" outlineLevel="0" collapsed="false">
      <c r="A45" s="13" t="s">
        <v>420</v>
      </c>
      <c r="B45" s="13" t="s">
        <v>6</v>
      </c>
      <c r="C45" s="13" t="s">
        <v>421</v>
      </c>
      <c r="D45" s="13" t="s">
        <v>421</v>
      </c>
      <c r="E45" s="13" t="s">
        <v>421</v>
      </c>
      <c r="F45" s="13" t="s">
        <v>422</v>
      </c>
      <c r="G45" s="14" t="s">
        <v>423</v>
      </c>
      <c r="H45" s="15" t="s">
        <v>13</v>
      </c>
      <c r="I45" s="16" t="s">
        <v>424</v>
      </c>
      <c r="J45" s="13" t="n">
        <v>1</v>
      </c>
      <c r="K45" s="15" t="s">
        <v>93</v>
      </c>
      <c r="L45" s="16" t="s">
        <v>425</v>
      </c>
      <c r="M45" s="14" t="s">
        <v>67</v>
      </c>
      <c r="N45" s="13"/>
      <c r="O45" s="15" t="s">
        <v>117</v>
      </c>
      <c r="P45" s="14"/>
      <c r="Q45" s="17" t="s">
        <v>426</v>
      </c>
    </row>
    <row r="46" customFormat="false" ht="29.85" hidden="false" customHeight="false" outlineLevel="0" collapsed="false">
      <c r="A46" s="13" t="s">
        <v>427</v>
      </c>
      <c r="B46" s="13" t="s">
        <v>6</v>
      </c>
      <c r="C46" s="13" t="s">
        <v>428</v>
      </c>
      <c r="D46" s="13" t="s">
        <v>428</v>
      </c>
      <c r="E46" s="13" t="s">
        <v>428</v>
      </c>
      <c r="F46" s="13" t="s">
        <v>429</v>
      </c>
      <c r="G46" s="14" t="s">
        <v>430</v>
      </c>
      <c r="H46" s="15" t="s">
        <v>19</v>
      </c>
      <c r="I46" s="16" t="s">
        <v>20</v>
      </c>
      <c r="J46" s="13" t="n">
        <v>0</v>
      </c>
      <c r="K46" s="15" t="s">
        <v>146</v>
      </c>
      <c r="L46" s="16" t="s">
        <v>431</v>
      </c>
      <c r="M46" s="14" t="s">
        <v>432</v>
      </c>
      <c r="N46" s="13"/>
      <c r="O46" s="13" t="s">
        <v>433</v>
      </c>
      <c r="P46" s="14"/>
      <c r="Q46" s="17" t="s">
        <v>434</v>
      </c>
    </row>
    <row r="47" customFormat="false" ht="29.85" hidden="false" customHeight="false" outlineLevel="0" collapsed="false">
      <c r="A47" s="13" t="s">
        <v>435</v>
      </c>
      <c r="B47" s="13" t="s">
        <v>6</v>
      </c>
      <c r="C47" s="13" t="s">
        <v>436</v>
      </c>
      <c r="D47" s="13" t="s">
        <v>436</v>
      </c>
      <c r="E47" s="13" t="s">
        <v>436</v>
      </c>
      <c r="F47" s="13" t="s">
        <v>437</v>
      </c>
      <c r="G47" s="14" t="s">
        <v>438</v>
      </c>
      <c r="H47" s="15" t="s">
        <v>13</v>
      </c>
      <c r="I47" s="16" t="s">
        <v>439</v>
      </c>
      <c r="J47" s="13" t="n">
        <v>1</v>
      </c>
      <c r="K47" s="15" t="s">
        <v>93</v>
      </c>
      <c r="L47" s="14" t="s">
        <v>440</v>
      </c>
      <c r="M47" s="14" t="s">
        <v>441</v>
      </c>
      <c r="N47" s="13"/>
      <c r="O47" s="15" t="s">
        <v>117</v>
      </c>
      <c r="P47" s="14"/>
      <c r="Q47" s="18" t="s">
        <v>98</v>
      </c>
    </row>
    <row r="48" customFormat="false" ht="44" hidden="false" customHeight="false" outlineLevel="0" collapsed="false">
      <c r="A48" s="13" t="s">
        <v>442</v>
      </c>
      <c r="B48" s="13" t="s">
        <v>6</v>
      </c>
      <c r="C48" s="13" t="s">
        <v>443</v>
      </c>
      <c r="D48" s="13" t="s">
        <v>443</v>
      </c>
      <c r="E48" s="13" t="s">
        <v>443</v>
      </c>
      <c r="F48" s="13" t="s">
        <v>444</v>
      </c>
      <c r="G48" s="14" t="s">
        <v>445</v>
      </c>
      <c r="H48" s="15" t="s">
        <v>13</v>
      </c>
      <c r="I48" s="16" t="s">
        <v>446</v>
      </c>
      <c r="J48" s="13" t="n">
        <v>0</v>
      </c>
      <c r="K48" s="15" t="s">
        <v>146</v>
      </c>
      <c r="L48" s="16" t="s">
        <v>447</v>
      </c>
      <c r="M48" s="14" t="s">
        <v>67</v>
      </c>
      <c r="N48" s="13"/>
      <c r="O48" s="13" t="s">
        <v>448</v>
      </c>
      <c r="P48" s="14"/>
      <c r="Q48" s="17" t="s">
        <v>449</v>
      </c>
    </row>
    <row r="49" customFormat="false" ht="29.85" hidden="false" customHeight="false" outlineLevel="0" collapsed="false">
      <c r="A49" s="13" t="s">
        <v>450</v>
      </c>
      <c r="B49" s="13" t="s">
        <v>6</v>
      </c>
      <c r="C49" s="13" t="s">
        <v>451</v>
      </c>
      <c r="D49" s="13" t="s">
        <v>451</v>
      </c>
      <c r="E49" s="13" t="s">
        <v>451</v>
      </c>
      <c r="F49" s="13" t="s">
        <v>452</v>
      </c>
      <c r="G49" s="16" t="s">
        <v>453</v>
      </c>
      <c r="H49" s="15" t="s">
        <v>13</v>
      </c>
      <c r="I49" s="16" t="s">
        <v>454</v>
      </c>
      <c r="J49" s="13" t="n">
        <v>0</v>
      </c>
      <c r="K49" s="15" t="s">
        <v>146</v>
      </c>
      <c r="L49" s="16" t="s">
        <v>455</v>
      </c>
      <c r="M49" s="14" t="s">
        <v>456</v>
      </c>
      <c r="N49" s="13" t="s">
        <v>457</v>
      </c>
      <c r="O49" s="13" t="s">
        <v>458</v>
      </c>
      <c r="P49" s="14"/>
      <c r="Q49" s="17" t="s">
        <v>459</v>
      </c>
    </row>
    <row r="50" customFormat="false" ht="29.85" hidden="false" customHeight="false" outlineLevel="0" collapsed="false">
      <c r="A50" s="13" t="s">
        <v>460</v>
      </c>
      <c r="B50" s="13" t="s">
        <v>6</v>
      </c>
      <c r="C50" s="13" t="s">
        <v>461</v>
      </c>
      <c r="D50" s="13" t="s">
        <v>461</v>
      </c>
      <c r="E50" s="13" t="s">
        <v>461</v>
      </c>
      <c r="F50" s="13" t="s">
        <v>462</v>
      </c>
      <c r="G50" s="16" t="s">
        <v>463</v>
      </c>
      <c r="H50" s="15" t="s">
        <v>13</v>
      </c>
      <c r="I50" s="16" t="s">
        <v>454</v>
      </c>
      <c r="J50" s="13" t="n">
        <v>0</v>
      </c>
      <c r="K50" s="15" t="s">
        <v>146</v>
      </c>
      <c r="L50" s="16" t="s">
        <v>464</v>
      </c>
      <c r="M50" s="14" t="s">
        <v>67</v>
      </c>
      <c r="N50" s="13"/>
      <c r="O50" s="13" t="s">
        <v>465</v>
      </c>
      <c r="P50" s="14" t="s">
        <v>466</v>
      </c>
      <c r="Q50" s="17" t="s">
        <v>467</v>
      </c>
    </row>
  </sheetData>
  <autoFilter ref="A1:Q1"/>
  <hyperlinks>
    <hyperlink ref="Q2" r:id="rId1" display="https://ag.ny.gov/press-release/2019/attorney-general-james-announces-court-order-against-crypto-currency-company"/>
    <hyperlink ref="Q3" r:id="rId2" display="https://www.occ.gov/news-issuances/news-releases/2020/nr-occ-2020-125.html"/>
    <hyperlink ref="Q4" r:id="rId3" display="https://www.occ.gov/news-issuances/news-releases/2021/nr-occ-2021-2.html"/>
    <hyperlink ref="Q6" r:id="rId4" display="https://www.paxos.com/newsroom/paxos-will-halt-minting-new-busd-tokens"/>
    <hyperlink ref="Q7" r:id="rId5" display="https://www.sec.gov/newsroom/press-releases/2023-101"/>
    <hyperlink ref="Q11" r:id="rId6" display="https://www.sec.gov/newsroom/speeches-statements/gensler-statement-spot-bitcoin-011023"/>
    <hyperlink ref="Q12" r:id="rId7" display="https://www.sec.gov/files/rules/sro/nysearca/2024/34-100224.pdf"/>
    <hyperlink ref="Q13" r:id="rId8" display="https://www.sec.gov/rules-regulations/staff-guidance/staff-accounting-bulletins/staff-accounting-bulletin-122"/>
    <hyperlink ref="Q14" r:id="rId9" display="https://www.banking.senate.gov/newsroom/majority/scott-colleagues-pave-the-way-for-historic-digital-asset-legislation"/>
    <hyperlink ref="Q15" r:id="rId10" display="https://www.whitehouse.gov/presidential-actions/2025/03/establishment-of-the-strategic-bitcoin-reserve-and-united-states-digital-asset-stockpile/"/>
    <hyperlink ref="Q16" r:id="rId11" display="https://www.banking.senate.gov/newsroom/majority/scott-advances-stablecoin-debanking-legislation-out-of-banking-committee"/>
    <hyperlink ref="Q17" r:id="rId12" display="https://www.senate.gov/legislative/LIS/roll_call_votes/vote1191/vote_119_1_00240.htm"/>
    <hyperlink ref="Q18" r:id="rId13" display="https://docs.house.gov/Committee/Calendar/ByEvent.aspx?EventID=118373"/>
    <hyperlink ref="Q19" r:id="rId14" display="https://www.booker.senate.gov/news/press/booker-statement-on-passage-of-genius-act"/>
    <hyperlink ref="Q20" r:id="rId15" display="https://www.whitehouse.gov/fact-sheets/2025/07/fact-sheet-president-donald-j-trump-signs-genius-act-into-law/"/>
    <hyperlink ref="Q21" r:id="rId16" display="https://www.banking.senate.gov/newsroom/majority/scott-statement-on-market-structure-markup"/>
    <hyperlink ref="Q22" r:id="rId17" display="https://www.cramer.senate.gov/news/press-releases/senate-banking-committee-passes-clarity-act"/>
    <hyperlink ref="Q23" r:id="rId18" display="https://www.senate.gov/legislative/LIS/roll_call_votes/vote1192/vote_119_2_00234.htm"/>
    <hyperlink ref="Q24" r:id="rId19" display="https://www.cftc.gov/PressRoom/PressReleases/7654-17"/>
    <hyperlink ref="Q25" r:id="rId20" display="https://www.gemini.com/blog/gemini-launches-the-gemini-dollar-us-dollars-on-the-blockchain"/>
    <hyperlink ref="Q26" r:id="rId21" display="https://www.circle.com/blog/introducing-usd-coin"/>
    <hyperlink ref="Q27" r:id="rId22" display="https://www.coindesk.com/markets/2018/10/15/price-of-stable-cryptocurrency-tether-tanks-to-18-month-low"/>
    <hyperlink ref="Q28" r:id="rId23" display="https://about.fb.com/ja/news/2019/06/calibra_launch/"/>
    <hyperlink ref="Q29" r:id="rId24" display="https://ag.ny.gov/press-release/2021/attorney-general-james-ends-virtual-currency-trading-platform-bitfinexs-illegal"/>
    <hyperlink ref="Q30" r:id="rId25" display="https://usa.visa.com/about-visa/newsroom/press-releases.releaseld.17821.html"/>
    <hyperlink ref="Q31" r:id="rId26" display="https://home.treasury.gov/news/press-releases/jy0454"/>
    <hyperlink ref="Q32" r:id="rId27" display="https://libertystreeteconomics.newyorkfed.org/2023/07/runs-on-stablecoins/"/>
    <hyperlink ref="Q33" r:id="rId28" display="https://www.dfs.ny.gov/industry_guidance/industry_letters/il20220608_issuance_stablecoins"/>
    <hyperlink ref="Q35" r:id="rId29" display="https://www.federalreserve.gov/econres/notes/feds-notes/in-the-shadow-of-bank-run-lessons-from-the-silicon-valley-bank-failure-and-its-impact-on-stablecoins-20251217.html"/>
    <hyperlink ref="Q36" r:id="rId30" display="https://www.federalreserve.gov/newsevents/pressreleases/monetary20230312b.htm"/>
    <hyperlink ref="Q37" r:id="rId31" display="https://newsroom.paypal-corp.com/2023-08-07-PayPal-Launches-U-S-Dollar-Stablecoin"/>
    <hyperlink ref="Q39" r:id="rId32" display="https://www.eba.europa.eu/sites/default/files/2024-07/7dcd9ce9-96e3-4c5c-8d86-39d7784d1f03/EBA%20statement%20on%20Application%20of%20MiCAR%20to%20ARTs%20and%20EMTs.pdf"/>
    <hyperlink ref="Q42" r:id="rId33" display="https://www.sec.gov/newsroom/speeches-statements/statement-stablecoins-040425"/>
    <hyperlink ref="Q43" r:id="rId34" display="https://financialservices.house.gov/news/documentsingle.aspx?DocumentID=409749"/>
    <hyperlink ref="Q44" r:id="rId35" display="https://www.circle.com/pressroom/circle-announces-pricing-of-upsized-initial-public-offering"/>
    <hyperlink ref="Q45" r:id="rId36" display="https://www.whitehouse.gov/presidential-actions/2025/08/democratizing-access-to-alternative-assets-for-401k-investors/"/>
    <hyperlink ref="Q46" r:id="rId37" display="https://investor.circle.com/news/news-details/2025/Circle-Launches-Public-Offering/default.aspx"/>
    <hyperlink ref="Q48" r:id="rId38" display="https://www.occ.gov/news-issuances/news-releases/2026/nr-occ-2026-9.html"/>
    <hyperlink ref="Q49" r:id="rId39" display="https://home.treasury.gov/news/press-releases/sb0428"/>
    <hyperlink ref="Q50" r:id="rId40" display="https://home.treasury.gov/news/press-releases/sb06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6" min="5" style="0" width="11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70"/>
  </cols>
  <sheetData>
    <row r="1" customFormat="false" ht="30" hidden="false" customHeight="true" outlineLevel="0" collapsed="false">
      <c r="A1" s="6" t="s">
        <v>468</v>
      </c>
      <c r="B1" s="6" t="s">
        <v>58</v>
      </c>
      <c r="C1" s="6" t="s">
        <v>469</v>
      </c>
      <c r="D1" s="6" t="s">
        <v>54</v>
      </c>
      <c r="E1" s="6" t="s">
        <v>470</v>
      </c>
      <c r="F1" s="6" t="s">
        <v>471</v>
      </c>
      <c r="G1" s="6" t="s">
        <v>472</v>
      </c>
      <c r="H1" s="6" t="s">
        <v>473</v>
      </c>
      <c r="I1" s="6" t="s">
        <v>474</v>
      </c>
      <c r="J1" s="6" t="s">
        <v>475</v>
      </c>
      <c r="K1" s="6" t="s">
        <v>476</v>
      </c>
    </row>
    <row r="2" customFormat="false" ht="15" hidden="false" customHeight="false" outlineLevel="0" collapsed="false">
      <c r="A2" s="15" t="s">
        <v>477</v>
      </c>
      <c r="B2" s="13" t="s">
        <v>275</v>
      </c>
      <c r="C2" s="13" t="s">
        <v>271</v>
      </c>
      <c r="D2" s="14" t="s">
        <v>478</v>
      </c>
      <c r="E2" s="15" t="s">
        <v>17</v>
      </c>
      <c r="F2" s="15" t="s">
        <v>17</v>
      </c>
      <c r="G2" s="13" t="n">
        <v>1</v>
      </c>
      <c r="H2" s="13" t="n">
        <v>1</v>
      </c>
      <c r="I2" s="13" t="s">
        <v>6</v>
      </c>
      <c r="J2" s="13" t="s">
        <v>270</v>
      </c>
      <c r="K2" s="14" t="s">
        <v>479</v>
      </c>
    </row>
    <row r="3" customFormat="false" ht="29.85" hidden="false" customHeight="false" outlineLevel="0" collapsed="false">
      <c r="A3" s="15" t="s">
        <v>477</v>
      </c>
      <c r="B3" s="13" t="s">
        <v>282</v>
      </c>
      <c r="C3" s="13" t="s">
        <v>278</v>
      </c>
      <c r="D3" s="14" t="s">
        <v>480</v>
      </c>
      <c r="E3" s="15" t="s">
        <v>21</v>
      </c>
      <c r="F3" s="15" t="s">
        <v>21</v>
      </c>
      <c r="G3" s="13" t="n">
        <v>-1</v>
      </c>
      <c r="H3" s="13" t="n">
        <v>-1</v>
      </c>
      <c r="I3" s="13" t="s">
        <v>6</v>
      </c>
      <c r="J3" s="13" t="s">
        <v>277</v>
      </c>
      <c r="K3" s="14" t="s">
        <v>481</v>
      </c>
    </row>
    <row r="4" customFormat="false" ht="15" hidden="false" customHeight="false" outlineLevel="0" collapsed="false">
      <c r="A4" s="15" t="s">
        <v>477</v>
      </c>
      <c r="B4" s="13" t="s">
        <v>68</v>
      </c>
      <c r="C4" s="13" t="s">
        <v>61</v>
      </c>
      <c r="D4" s="16" t="s">
        <v>482</v>
      </c>
      <c r="E4" s="15" t="s">
        <v>13</v>
      </c>
      <c r="F4" s="15" t="s">
        <v>13</v>
      </c>
      <c r="G4" s="13" t="n">
        <v>-1</v>
      </c>
      <c r="H4" s="13" t="n">
        <v>-1</v>
      </c>
      <c r="I4" s="13" t="s">
        <v>4</v>
      </c>
      <c r="J4" s="13" t="s">
        <v>60</v>
      </c>
      <c r="K4" s="14" t="s">
        <v>483</v>
      </c>
    </row>
    <row r="5" customFormat="false" ht="15" hidden="false" customHeight="false" outlineLevel="0" collapsed="false">
      <c r="A5" s="15" t="s">
        <v>477</v>
      </c>
      <c r="B5" s="13" t="s">
        <v>290</v>
      </c>
      <c r="C5" s="13" t="s">
        <v>285</v>
      </c>
      <c r="D5" s="14" t="s">
        <v>287</v>
      </c>
      <c r="E5" s="15" t="s">
        <v>17</v>
      </c>
      <c r="F5" s="15" t="s">
        <v>17</v>
      </c>
      <c r="G5" s="13" t="n">
        <v>1</v>
      </c>
      <c r="H5" s="13" t="n">
        <v>1</v>
      </c>
      <c r="I5" s="13" t="s">
        <v>6</v>
      </c>
      <c r="J5" s="13" t="s">
        <v>284</v>
      </c>
      <c r="K5" s="14" t="s">
        <v>484</v>
      </c>
    </row>
    <row r="6" customFormat="false" ht="29.85" hidden="false" customHeight="false" outlineLevel="0" collapsed="false">
      <c r="A6" s="15" t="s">
        <v>477</v>
      </c>
      <c r="B6" s="13" t="s">
        <v>77</v>
      </c>
      <c r="C6" s="13" t="s">
        <v>72</v>
      </c>
      <c r="D6" s="14" t="s">
        <v>485</v>
      </c>
      <c r="E6" s="15" t="s">
        <v>13</v>
      </c>
      <c r="F6" s="15" t="s">
        <v>13</v>
      </c>
      <c r="G6" s="13" t="n">
        <v>1</v>
      </c>
      <c r="H6" s="13" t="n">
        <v>1</v>
      </c>
      <c r="I6" s="13" t="s">
        <v>4</v>
      </c>
      <c r="J6" s="13" t="s">
        <v>71</v>
      </c>
      <c r="K6" s="14" t="s">
        <v>486</v>
      </c>
    </row>
    <row r="7" customFormat="false" ht="15" hidden="false" customHeight="false" outlineLevel="0" collapsed="false">
      <c r="A7" s="15" t="s">
        <v>477</v>
      </c>
      <c r="B7" s="13" t="s">
        <v>85</v>
      </c>
      <c r="C7" s="13" t="s">
        <v>80</v>
      </c>
      <c r="D7" s="14" t="s">
        <v>487</v>
      </c>
      <c r="E7" s="15" t="s">
        <v>13</v>
      </c>
      <c r="F7" s="15" t="s">
        <v>13</v>
      </c>
      <c r="G7" s="13" t="n">
        <v>1</v>
      </c>
      <c r="H7" s="13" t="n">
        <v>1</v>
      </c>
      <c r="I7" s="13" t="s">
        <v>4</v>
      </c>
      <c r="J7" s="13" t="s">
        <v>79</v>
      </c>
      <c r="K7" s="14" t="s">
        <v>488</v>
      </c>
    </row>
    <row r="8" customFormat="false" ht="15" hidden="false" customHeight="false" outlineLevel="0" collapsed="false">
      <c r="A8" s="15" t="s">
        <v>477</v>
      </c>
      <c r="B8" s="13" t="s">
        <v>299</v>
      </c>
      <c r="C8" s="13" t="s">
        <v>293</v>
      </c>
      <c r="D8" s="16" t="s">
        <v>489</v>
      </c>
      <c r="E8" s="15" t="s">
        <v>13</v>
      </c>
      <c r="F8" s="15" t="s">
        <v>13</v>
      </c>
      <c r="G8" s="13" t="n">
        <v>0</v>
      </c>
      <c r="H8" s="13" t="n">
        <v>0</v>
      </c>
      <c r="I8" s="13" t="s">
        <v>6</v>
      </c>
      <c r="J8" s="13" t="s">
        <v>292</v>
      </c>
      <c r="K8" s="14" t="s">
        <v>490</v>
      </c>
    </row>
    <row r="9" customFormat="false" ht="15" hidden="false" customHeight="false" outlineLevel="0" collapsed="false">
      <c r="A9" s="15" t="s">
        <v>477</v>
      </c>
      <c r="B9" s="13" t="s">
        <v>307</v>
      </c>
      <c r="C9" s="13" t="s">
        <v>303</v>
      </c>
      <c r="D9" s="14" t="s">
        <v>491</v>
      </c>
      <c r="E9" s="15" t="s">
        <v>17</v>
      </c>
      <c r="F9" s="15" t="s">
        <v>17</v>
      </c>
      <c r="G9" s="13" t="n">
        <v>1</v>
      </c>
      <c r="H9" s="13" t="n">
        <v>1</v>
      </c>
      <c r="I9" s="13" t="s">
        <v>6</v>
      </c>
      <c r="J9" s="13" t="s">
        <v>302</v>
      </c>
      <c r="K9" s="14" t="s">
        <v>492</v>
      </c>
    </row>
    <row r="10" customFormat="false" ht="15" hidden="false" customHeight="false" outlineLevel="0" collapsed="false">
      <c r="A10" s="15" t="s">
        <v>477</v>
      </c>
      <c r="B10" s="13" t="s">
        <v>316</v>
      </c>
      <c r="C10" s="13" t="s">
        <v>310</v>
      </c>
      <c r="D10" s="16" t="s">
        <v>493</v>
      </c>
      <c r="E10" s="15" t="s">
        <v>13</v>
      </c>
      <c r="F10" s="15" t="s">
        <v>13</v>
      </c>
      <c r="G10" s="13" t="n">
        <v>0</v>
      </c>
      <c r="H10" s="13" t="n">
        <v>0</v>
      </c>
      <c r="I10" s="13" t="s">
        <v>6</v>
      </c>
      <c r="J10" s="13" t="s">
        <v>309</v>
      </c>
      <c r="K10" s="14" t="s">
        <v>494</v>
      </c>
    </row>
    <row r="11" customFormat="false" ht="15" hidden="false" customHeight="false" outlineLevel="0" collapsed="false">
      <c r="A11" s="15" t="s">
        <v>477</v>
      </c>
      <c r="B11" s="13" t="s">
        <v>106</v>
      </c>
      <c r="C11" s="13" t="s">
        <v>100</v>
      </c>
      <c r="D11" s="14" t="s">
        <v>495</v>
      </c>
      <c r="E11" s="15" t="s">
        <v>13</v>
      </c>
      <c r="F11" s="15" t="s">
        <v>13</v>
      </c>
      <c r="G11" s="13" t="n">
        <v>-1</v>
      </c>
      <c r="H11" s="13" t="n">
        <v>-1</v>
      </c>
      <c r="I11" s="13" t="s">
        <v>4</v>
      </c>
      <c r="J11" s="13" t="s">
        <v>99</v>
      </c>
      <c r="K11" s="14" t="s">
        <v>496</v>
      </c>
    </row>
    <row r="12" customFormat="false" ht="15" hidden="false" customHeight="false" outlineLevel="0" collapsed="false">
      <c r="A12" s="15" t="s">
        <v>477</v>
      </c>
      <c r="B12" s="13" t="s">
        <v>368</v>
      </c>
      <c r="C12" s="13" t="s">
        <v>363</v>
      </c>
      <c r="D12" s="14" t="s">
        <v>365</v>
      </c>
      <c r="E12" s="15" t="s">
        <v>17</v>
      </c>
      <c r="F12" s="15" t="s">
        <v>17</v>
      </c>
      <c r="G12" s="13" t="n">
        <v>1</v>
      </c>
      <c r="H12" s="13" t="n">
        <v>1</v>
      </c>
      <c r="I12" s="13" t="s">
        <v>6</v>
      </c>
      <c r="J12" s="13" t="s">
        <v>362</v>
      </c>
      <c r="K12" s="14" t="s">
        <v>497</v>
      </c>
    </row>
    <row r="13" customFormat="false" ht="15" hidden="false" customHeight="false" outlineLevel="0" collapsed="false">
      <c r="A13" s="15" t="s">
        <v>477</v>
      </c>
      <c r="B13" s="13" t="s">
        <v>173</v>
      </c>
      <c r="C13" s="13" t="s">
        <v>168</v>
      </c>
      <c r="D13" s="14" t="s">
        <v>498</v>
      </c>
      <c r="E13" s="15" t="s">
        <v>11</v>
      </c>
      <c r="F13" s="15" t="s">
        <v>11</v>
      </c>
      <c r="G13" s="13" t="n">
        <v>1</v>
      </c>
      <c r="H13" s="13" t="n">
        <v>1</v>
      </c>
      <c r="I13" s="13" t="s">
        <v>4</v>
      </c>
      <c r="J13" s="13" t="s">
        <v>167</v>
      </c>
      <c r="K13" s="14" t="s">
        <v>499</v>
      </c>
    </row>
    <row r="14" customFormat="false" ht="15" hidden="false" customHeight="false" outlineLevel="0" collapsed="false">
      <c r="A14" s="15" t="s">
        <v>477</v>
      </c>
      <c r="B14" s="13" t="s">
        <v>191</v>
      </c>
      <c r="C14" s="13" t="s">
        <v>186</v>
      </c>
      <c r="D14" s="14" t="s">
        <v>500</v>
      </c>
      <c r="E14" s="15" t="s">
        <v>11</v>
      </c>
      <c r="F14" s="15" t="s">
        <v>11</v>
      </c>
      <c r="G14" s="13" t="n">
        <v>1</v>
      </c>
      <c r="H14" s="13" t="n">
        <v>1</v>
      </c>
      <c r="I14" s="13" t="s">
        <v>4</v>
      </c>
      <c r="J14" s="13" t="s">
        <v>185</v>
      </c>
      <c r="K14" s="14" t="s">
        <v>501</v>
      </c>
    </row>
    <row r="15" customFormat="false" ht="15" hidden="false" customHeight="false" outlineLevel="0" collapsed="false">
      <c r="A15" s="15" t="s">
        <v>477</v>
      </c>
      <c r="B15" s="13" t="s">
        <v>199</v>
      </c>
      <c r="C15" s="13" t="s">
        <v>194</v>
      </c>
      <c r="D15" s="14" t="s">
        <v>502</v>
      </c>
      <c r="E15" s="15" t="s">
        <v>11</v>
      </c>
      <c r="F15" s="15" t="s">
        <v>11</v>
      </c>
      <c r="G15" s="13" t="n">
        <v>-1</v>
      </c>
      <c r="H15" s="13" t="n">
        <v>-1</v>
      </c>
      <c r="I15" s="13" t="s">
        <v>4</v>
      </c>
      <c r="J15" s="13" t="s">
        <v>193</v>
      </c>
      <c r="K15" s="14" t="s">
        <v>503</v>
      </c>
    </row>
    <row r="16" customFormat="false" ht="15" hidden="false" customHeight="false" outlineLevel="0" collapsed="false">
      <c r="A16" s="15" t="s">
        <v>477</v>
      </c>
      <c r="B16" s="13" t="s">
        <v>411</v>
      </c>
      <c r="C16" s="13" t="s">
        <v>407</v>
      </c>
      <c r="D16" s="14" t="s">
        <v>504</v>
      </c>
      <c r="E16" s="15" t="s">
        <v>11</v>
      </c>
      <c r="F16" s="15" t="s">
        <v>11</v>
      </c>
      <c r="G16" s="13" t="n">
        <v>1</v>
      </c>
      <c r="H16" s="13" t="n">
        <v>1</v>
      </c>
      <c r="I16" s="13" t="s">
        <v>6</v>
      </c>
      <c r="J16" s="13" t="s">
        <v>406</v>
      </c>
      <c r="K16" s="14" t="s">
        <v>505</v>
      </c>
    </row>
    <row r="17" customFormat="false" ht="15" hidden="false" customHeight="false" outlineLevel="0" collapsed="false">
      <c r="A17" s="15" t="s">
        <v>477</v>
      </c>
      <c r="B17" s="13" t="s">
        <v>418</v>
      </c>
      <c r="C17" s="13" t="s">
        <v>414</v>
      </c>
      <c r="D17" s="14" t="s">
        <v>506</v>
      </c>
      <c r="E17" s="15" t="s">
        <v>19</v>
      </c>
      <c r="F17" s="15" t="s">
        <v>19</v>
      </c>
      <c r="G17" s="13" t="n">
        <v>1</v>
      </c>
      <c r="H17" s="13" t="n">
        <v>1</v>
      </c>
      <c r="I17" s="13" t="s">
        <v>6</v>
      </c>
      <c r="J17" s="13" t="s">
        <v>413</v>
      </c>
      <c r="K17" s="14" t="s">
        <v>507</v>
      </c>
    </row>
    <row r="18" customFormat="false" ht="15" hidden="false" customHeight="false" outlineLevel="0" collapsed="false">
      <c r="A18" s="15" t="s">
        <v>477</v>
      </c>
      <c r="B18" s="13" t="s">
        <v>208</v>
      </c>
      <c r="C18" s="13" t="s">
        <v>203</v>
      </c>
      <c r="D18" s="14" t="s">
        <v>508</v>
      </c>
      <c r="E18" s="15" t="s">
        <v>11</v>
      </c>
      <c r="F18" s="15" t="s">
        <v>11</v>
      </c>
      <c r="G18" s="13" t="n">
        <v>1</v>
      </c>
      <c r="H18" s="13" t="n">
        <v>1</v>
      </c>
      <c r="I18" s="13" t="s">
        <v>4</v>
      </c>
      <c r="J18" s="13" t="s">
        <v>202</v>
      </c>
      <c r="K18" s="14" t="s">
        <v>509</v>
      </c>
    </row>
    <row r="19" customFormat="false" ht="15" hidden="false" customHeight="false" outlineLevel="0" collapsed="false">
      <c r="A19" s="15" t="s">
        <v>477</v>
      </c>
      <c r="B19" s="13" t="s">
        <v>433</v>
      </c>
      <c r="C19" s="13" t="s">
        <v>428</v>
      </c>
      <c r="D19" s="14" t="s">
        <v>510</v>
      </c>
      <c r="E19" s="15" t="s">
        <v>19</v>
      </c>
      <c r="F19" s="15" t="s">
        <v>19</v>
      </c>
      <c r="G19" s="13" t="n">
        <v>0</v>
      </c>
      <c r="H19" s="13" t="n">
        <v>0</v>
      </c>
      <c r="I19" s="13" t="s">
        <v>6</v>
      </c>
      <c r="J19" s="13" t="s">
        <v>427</v>
      </c>
      <c r="K19" s="14" t="s">
        <v>511</v>
      </c>
    </row>
    <row r="20" customFormat="false" ht="15" hidden="false" customHeight="false" outlineLevel="0" collapsed="false">
      <c r="A20" s="15" t="s">
        <v>477</v>
      </c>
      <c r="B20" s="13" t="s">
        <v>235</v>
      </c>
      <c r="C20" s="13" t="s">
        <v>230</v>
      </c>
      <c r="D20" s="14" t="s">
        <v>512</v>
      </c>
      <c r="E20" s="15" t="s">
        <v>11</v>
      </c>
      <c r="F20" s="15" t="s">
        <v>11</v>
      </c>
      <c r="G20" s="13" t="n">
        <v>-1</v>
      </c>
      <c r="H20" s="13" t="n">
        <v>-1</v>
      </c>
      <c r="I20" s="13" t="s">
        <v>4</v>
      </c>
      <c r="J20" s="13" t="s">
        <v>229</v>
      </c>
      <c r="K20" s="14" t="s">
        <v>513</v>
      </c>
    </row>
    <row r="21" customFormat="false" ht="29.85" hidden="false" customHeight="false" outlineLevel="0" collapsed="false">
      <c r="A21" s="15" t="s">
        <v>477</v>
      </c>
      <c r="B21" s="13" t="s">
        <v>448</v>
      </c>
      <c r="C21" s="13" t="s">
        <v>443</v>
      </c>
      <c r="D21" s="14" t="s">
        <v>514</v>
      </c>
      <c r="E21" s="15" t="s">
        <v>13</v>
      </c>
      <c r="F21" s="15" t="s">
        <v>13</v>
      </c>
      <c r="G21" s="13" t="n">
        <v>0</v>
      </c>
      <c r="H21" s="13" t="n">
        <v>0</v>
      </c>
      <c r="I21" s="13" t="s">
        <v>6</v>
      </c>
      <c r="J21" s="13" t="s">
        <v>442</v>
      </c>
      <c r="K21" s="14" t="s">
        <v>515</v>
      </c>
    </row>
    <row r="22" customFormat="false" ht="15" hidden="false" customHeight="false" outlineLevel="0" collapsed="false">
      <c r="A22" s="15" t="s">
        <v>477</v>
      </c>
      <c r="B22" s="13" t="s">
        <v>465</v>
      </c>
      <c r="C22" s="13" t="s">
        <v>461</v>
      </c>
      <c r="D22" s="16" t="s">
        <v>516</v>
      </c>
      <c r="E22" s="15" t="s">
        <v>13</v>
      </c>
      <c r="F22" s="15" t="s">
        <v>13</v>
      </c>
      <c r="G22" s="13" t="n">
        <v>0</v>
      </c>
      <c r="H22" s="13" t="n">
        <v>0</v>
      </c>
      <c r="I22" s="13" t="s">
        <v>6</v>
      </c>
      <c r="J22" s="13" t="s">
        <v>460</v>
      </c>
      <c r="K22" s="14" t="s">
        <v>517</v>
      </c>
    </row>
    <row r="23" customFormat="false" ht="15" hidden="false" customHeight="false" outlineLevel="0" collapsed="false">
      <c r="A23" s="15" t="s">
        <v>477</v>
      </c>
      <c r="B23" s="13" t="s">
        <v>252</v>
      </c>
      <c r="C23" s="13" t="s">
        <v>247</v>
      </c>
      <c r="D23" s="14" t="s">
        <v>518</v>
      </c>
      <c r="E23" s="15" t="s">
        <v>11</v>
      </c>
      <c r="F23" s="15" t="s">
        <v>11</v>
      </c>
      <c r="G23" s="13" t="n">
        <v>-1</v>
      </c>
      <c r="H23" s="13" t="n">
        <v>-1</v>
      </c>
      <c r="I23" s="13" t="s">
        <v>4</v>
      </c>
      <c r="J23" s="13" t="s">
        <v>246</v>
      </c>
      <c r="K23" s="14" t="s">
        <v>519</v>
      </c>
    </row>
    <row r="24" customFormat="false" ht="29.85" hidden="false" customHeight="false" outlineLevel="0" collapsed="false">
      <c r="A24" s="19" t="s">
        <v>520</v>
      </c>
      <c r="B24" s="20" t="s">
        <v>268</v>
      </c>
      <c r="C24" s="20" t="s">
        <v>263</v>
      </c>
      <c r="D24" s="21" t="s">
        <v>521</v>
      </c>
      <c r="E24" s="19" t="s">
        <v>17</v>
      </c>
      <c r="F24" s="19" t="s">
        <v>13</v>
      </c>
      <c r="G24" s="20" t="n">
        <v>1</v>
      </c>
      <c r="H24" s="20" t="n">
        <v>1</v>
      </c>
      <c r="I24" s="20" t="s">
        <v>6</v>
      </c>
      <c r="J24" s="20" t="s">
        <v>262</v>
      </c>
      <c r="K24" s="21" t="s">
        <v>522</v>
      </c>
    </row>
    <row r="25" customFormat="false" ht="44" hidden="false" customHeight="false" outlineLevel="0" collapsed="false">
      <c r="A25" s="19" t="s">
        <v>520</v>
      </c>
      <c r="B25" s="20" t="s">
        <v>325</v>
      </c>
      <c r="C25" s="20" t="s">
        <v>523</v>
      </c>
      <c r="D25" s="22" t="s">
        <v>524</v>
      </c>
      <c r="E25" s="19" t="s">
        <v>21</v>
      </c>
      <c r="F25" s="19" t="s">
        <v>21</v>
      </c>
      <c r="G25" s="20" t="n">
        <v>-1</v>
      </c>
      <c r="H25" s="20" t="n">
        <v>-1</v>
      </c>
      <c r="I25" s="20" t="s">
        <v>6</v>
      </c>
      <c r="J25" s="20" t="s">
        <v>319</v>
      </c>
      <c r="K25" s="21" t="s">
        <v>525</v>
      </c>
    </row>
    <row r="26" customFormat="false" ht="29.85" hidden="false" customHeight="false" outlineLevel="0" collapsed="false">
      <c r="A26" s="19" t="s">
        <v>520</v>
      </c>
      <c r="B26" s="20" t="s">
        <v>334</v>
      </c>
      <c r="C26" s="20" t="s">
        <v>328</v>
      </c>
      <c r="D26" s="22" t="s">
        <v>330</v>
      </c>
      <c r="E26" s="19" t="s">
        <v>13</v>
      </c>
      <c r="F26" s="19" t="s">
        <v>13</v>
      </c>
      <c r="G26" s="20" t="n">
        <v>0</v>
      </c>
      <c r="H26" s="20" t="n">
        <v>1</v>
      </c>
      <c r="I26" s="20" t="s">
        <v>6</v>
      </c>
      <c r="J26" s="20" t="s">
        <v>327</v>
      </c>
      <c r="K26" s="21" t="s">
        <v>526</v>
      </c>
    </row>
    <row r="27" customFormat="false" ht="29.85" hidden="false" customHeight="false" outlineLevel="0" collapsed="false">
      <c r="A27" s="19" t="s">
        <v>520</v>
      </c>
      <c r="B27" s="20" t="s">
        <v>352</v>
      </c>
      <c r="C27" s="20" t="s">
        <v>345</v>
      </c>
      <c r="D27" s="22" t="s">
        <v>527</v>
      </c>
      <c r="E27" s="19" t="s">
        <v>21</v>
      </c>
      <c r="F27" s="19" t="s">
        <v>21</v>
      </c>
      <c r="G27" s="20" t="n">
        <v>-1</v>
      </c>
      <c r="H27" s="20" t="n">
        <v>-1</v>
      </c>
      <c r="I27" s="20" t="s">
        <v>6</v>
      </c>
      <c r="J27" s="20" t="s">
        <v>344</v>
      </c>
      <c r="K27" s="21" t="s">
        <v>528</v>
      </c>
    </row>
    <row r="28" customFormat="false" ht="29.85" hidden="false" customHeight="false" outlineLevel="0" collapsed="false">
      <c r="A28" s="19" t="s">
        <v>520</v>
      </c>
      <c r="B28" s="20" t="s">
        <v>359</v>
      </c>
      <c r="C28" s="20" t="s">
        <v>356</v>
      </c>
      <c r="D28" s="21" t="s">
        <v>529</v>
      </c>
      <c r="E28" s="19" t="s">
        <v>23</v>
      </c>
      <c r="F28" s="19" t="s">
        <v>23</v>
      </c>
      <c r="G28" s="20" t="n">
        <v>1</v>
      </c>
      <c r="H28" s="20" t="n">
        <v>1</v>
      </c>
      <c r="I28" s="20" t="s">
        <v>6</v>
      </c>
      <c r="J28" s="20" t="s">
        <v>355</v>
      </c>
      <c r="K28" s="21" t="s">
        <v>530</v>
      </c>
    </row>
    <row r="29" customFormat="false" ht="29.85" hidden="false" customHeight="false" outlineLevel="0" collapsed="false">
      <c r="A29" s="19" t="s">
        <v>520</v>
      </c>
      <c r="B29" s="20" t="s">
        <v>382</v>
      </c>
      <c r="C29" s="20" t="s">
        <v>377</v>
      </c>
      <c r="D29" s="22" t="s">
        <v>379</v>
      </c>
      <c r="E29" s="19" t="s">
        <v>13</v>
      </c>
      <c r="F29" s="19" t="s">
        <v>13</v>
      </c>
      <c r="G29" s="20" t="n">
        <v>0</v>
      </c>
      <c r="H29" s="20" t="n">
        <v>1</v>
      </c>
      <c r="I29" s="20" t="s">
        <v>6</v>
      </c>
      <c r="J29" s="20" t="s">
        <v>376</v>
      </c>
      <c r="K29" s="21" t="s">
        <v>531</v>
      </c>
    </row>
    <row r="30" customFormat="false" ht="29.85" hidden="false" customHeight="false" outlineLevel="0" collapsed="false">
      <c r="A30" s="19" t="s">
        <v>520</v>
      </c>
      <c r="B30" s="20" t="s">
        <v>216</v>
      </c>
      <c r="C30" s="20" t="s">
        <v>211</v>
      </c>
      <c r="D30" s="22" t="s">
        <v>532</v>
      </c>
      <c r="E30" s="19" t="s">
        <v>11</v>
      </c>
      <c r="F30" s="19" t="s">
        <v>11</v>
      </c>
      <c r="G30" s="20" t="n">
        <v>1</v>
      </c>
      <c r="H30" s="20" t="n">
        <v>1</v>
      </c>
      <c r="I30" s="20" t="s">
        <v>4</v>
      </c>
      <c r="J30" s="20" t="s">
        <v>210</v>
      </c>
      <c r="K30" s="21" t="s">
        <v>533</v>
      </c>
    </row>
    <row r="31" customFormat="false" ht="29.85" hidden="false" customHeight="false" outlineLevel="0" collapsed="false">
      <c r="A31" s="23" t="s">
        <v>534</v>
      </c>
      <c r="B31" s="24" t="s">
        <v>535</v>
      </c>
      <c r="C31" s="24" t="s">
        <v>220</v>
      </c>
      <c r="D31" s="25" t="s">
        <v>536</v>
      </c>
      <c r="E31" s="23" t="s">
        <v>11</v>
      </c>
      <c r="F31" s="23" t="s">
        <v>11</v>
      </c>
      <c r="G31" s="24" t="n">
        <v>1</v>
      </c>
      <c r="H31" s="24" t="n">
        <v>1</v>
      </c>
      <c r="I31" s="24" t="s">
        <v>4</v>
      </c>
      <c r="J31" s="24" t="s">
        <v>219</v>
      </c>
      <c r="K31" s="25" t="s">
        <v>537</v>
      </c>
    </row>
    <row r="32" customFormat="false" ht="15" hidden="false" customHeight="false" outlineLevel="0" collapsed="false">
      <c r="A32" s="23" t="s">
        <v>534</v>
      </c>
      <c r="B32" s="24" t="s">
        <v>538</v>
      </c>
      <c r="C32" s="24" t="s">
        <v>221</v>
      </c>
      <c r="D32" s="25" t="s">
        <v>539</v>
      </c>
      <c r="E32" s="23" t="s">
        <v>11</v>
      </c>
      <c r="F32" s="23" t="s">
        <v>11</v>
      </c>
      <c r="G32" s="24" t="n">
        <v>1</v>
      </c>
      <c r="H32" s="24" t="n">
        <v>1</v>
      </c>
      <c r="I32" s="24" t="s">
        <v>4</v>
      </c>
      <c r="J32" s="24" t="s">
        <v>219</v>
      </c>
      <c r="K32" s="25" t="s">
        <v>540</v>
      </c>
    </row>
    <row r="33" customFormat="false" ht="29.85" hidden="false" customHeight="false" outlineLevel="0" collapsed="false">
      <c r="A33" s="23" t="s">
        <v>534</v>
      </c>
      <c r="B33" s="24" t="s">
        <v>541</v>
      </c>
      <c r="C33" s="24" t="s">
        <v>451</v>
      </c>
      <c r="D33" s="26" t="s">
        <v>542</v>
      </c>
      <c r="E33" s="23" t="s">
        <v>13</v>
      </c>
      <c r="F33" s="23" t="s">
        <v>13</v>
      </c>
      <c r="G33" s="24" t="n">
        <v>0</v>
      </c>
      <c r="H33" s="24" t="n">
        <v>0</v>
      </c>
      <c r="I33" s="24" t="s">
        <v>6</v>
      </c>
      <c r="J33" s="24" t="s">
        <v>450</v>
      </c>
      <c r="K33" s="25" t="s">
        <v>543</v>
      </c>
    </row>
    <row r="34" customFormat="false" ht="15" hidden="false" customHeight="false" outlineLevel="0" collapsed="false">
      <c r="A34" s="23" t="s">
        <v>534</v>
      </c>
      <c r="B34" s="24" t="s">
        <v>544</v>
      </c>
      <c r="C34" s="24" t="s">
        <v>545</v>
      </c>
      <c r="D34" s="26" t="s">
        <v>546</v>
      </c>
      <c r="E34" s="23" t="s">
        <v>13</v>
      </c>
      <c r="F34" s="23" t="s">
        <v>13</v>
      </c>
      <c r="G34" s="24" t="n">
        <v>0</v>
      </c>
      <c r="H34" s="24" t="n">
        <v>0</v>
      </c>
      <c r="I34" s="24" t="s">
        <v>6</v>
      </c>
      <c r="J34" s="24" t="s">
        <v>450</v>
      </c>
      <c r="K34" s="25" t="s">
        <v>547</v>
      </c>
    </row>
    <row r="35" customFormat="false" ht="29.85" hidden="false" customHeight="false" outlineLevel="0" collapsed="false">
      <c r="A35" s="23" t="s">
        <v>534</v>
      </c>
      <c r="B35" s="24" t="s">
        <v>548</v>
      </c>
      <c r="C35" s="24" t="s">
        <v>549</v>
      </c>
      <c r="D35" s="25" t="s">
        <v>550</v>
      </c>
      <c r="E35" s="23" t="s">
        <v>11</v>
      </c>
      <c r="F35" s="23" t="s">
        <v>11</v>
      </c>
      <c r="G35" s="24" t="n">
        <v>1</v>
      </c>
      <c r="H35" s="24" t="n">
        <v>1</v>
      </c>
      <c r="I35" s="24" t="s">
        <v>4</v>
      </c>
      <c r="J35" s="24" t="s">
        <v>237</v>
      </c>
      <c r="K35" s="25" t="s">
        <v>551</v>
      </c>
    </row>
    <row r="36" customFormat="false" ht="29.85" hidden="false" customHeight="false" outlineLevel="0" collapsed="false">
      <c r="A36" s="23" t="s">
        <v>534</v>
      </c>
      <c r="B36" s="24" t="s">
        <v>552</v>
      </c>
      <c r="C36" s="24" t="s">
        <v>238</v>
      </c>
      <c r="D36" s="25" t="s">
        <v>553</v>
      </c>
      <c r="E36" s="23" t="s">
        <v>11</v>
      </c>
      <c r="F36" s="23" t="s">
        <v>11</v>
      </c>
      <c r="G36" s="24" t="n">
        <v>1</v>
      </c>
      <c r="H36" s="24" t="n">
        <v>1</v>
      </c>
      <c r="I36" s="24" t="s">
        <v>4</v>
      </c>
      <c r="J36" s="24" t="s">
        <v>237</v>
      </c>
      <c r="K36" s="25" t="s">
        <v>554</v>
      </c>
    </row>
    <row r="37" customFormat="false" ht="29.85" hidden="false" customHeight="false" outlineLevel="0" collapsed="false">
      <c r="A37" s="27" t="s">
        <v>555</v>
      </c>
      <c r="B37" s="28" t="s">
        <v>67</v>
      </c>
      <c r="C37" s="28" t="s">
        <v>255</v>
      </c>
      <c r="D37" s="29" t="s">
        <v>257</v>
      </c>
      <c r="E37" s="28" t="s">
        <v>67</v>
      </c>
      <c r="F37" s="27" t="s">
        <v>13</v>
      </c>
      <c r="G37" s="28" t="s">
        <v>67</v>
      </c>
      <c r="H37" s="28" t="n">
        <v>1</v>
      </c>
      <c r="I37" s="28" t="s">
        <v>6</v>
      </c>
      <c r="J37" s="28" t="s">
        <v>254</v>
      </c>
      <c r="K37" s="30" t="s">
        <v>556</v>
      </c>
    </row>
    <row r="38" customFormat="false" ht="29.85" hidden="false" customHeight="false" outlineLevel="0" collapsed="false">
      <c r="A38" s="27" t="s">
        <v>555</v>
      </c>
      <c r="B38" s="28" t="s">
        <v>67</v>
      </c>
      <c r="C38" s="28" t="s">
        <v>89</v>
      </c>
      <c r="D38" s="29" t="s">
        <v>91</v>
      </c>
      <c r="E38" s="28" t="s">
        <v>67</v>
      </c>
      <c r="F38" s="27" t="s">
        <v>13</v>
      </c>
      <c r="G38" s="28" t="s">
        <v>67</v>
      </c>
      <c r="H38" s="28" t="n">
        <v>1</v>
      </c>
      <c r="I38" s="28" t="s">
        <v>4</v>
      </c>
      <c r="J38" s="28" t="s">
        <v>88</v>
      </c>
      <c r="K38" s="30" t="s">
        <v>557</v>
      </c>
    </row>
    <row r="39" customFormat="false" ht="15" hidden="false" customHeight="false" outlineLevel="0" collapsed="false">
      <c r="A39" s="27" t="s">
        <v>555</v>
      </c>
      <c r="B39" s="28" t="s">
        <v>67</v>
      </c>
      <c r="C39" s="28" t="s">
        <v>338</v>
      </c>
      <c r="D39" s="29" t="s">
        <v>340</v>
      </c>
      <c r="E39" s="28" t="s">
        <v>67</v>
      </c>
      <c r="F39" s="27" t="s">
        <v>21</v>
      </c>
      <c r="G39" s="28" t="s">
        <v>67</v>
      </c>
      <c r="H39" s="28" t="n">
        <v>-1</v>
      </c>
      <c r="I39" s="28" t="s">
        <v>6</v>
      </c>
      <c r="J39" s="28" t="s">
        <v>337</v>
      </c>
      <c r="K39" s="30" t="s">
        <v>558</v>
      </c>
    </row>
    <row r="40" customFormat="false" ht="29.85" hidden="false" customHeight="false" outlineLevel="0" collapsed="false">
      <c r="A40" s="27" t="s">
        <v>555</v>
      </c>
      <c r="B40" s="28" t="s">
        <v>67</v>
      </c>
      <c r="C40" s="28" t="s">
        <v>110</v>
      </c>
      <c r="D40" s="29" t="s">
        <v>112</v>
      </c>
      <c r="E40" s="28" t="s">
        <v>67</v>
      </c>
      <c r="F40" s="27" t="s">
        <v>13</v>
      </c>
      <c r="G40" s="28" t="s">
        <v>67</v>
      </c>
      <c r="H40" s="28" t="n">
        <v>-1</v>
      </c>
      <c r="I40" s="28" t="s">
        <v>4</v>
      </c>
      <c r="J40" s="28" t="s">
        <v>109</v>
      </c>
      <c r="K40" s="30" t="s">
        <v>559</v>
      </c>
    </row>
    <row r="41" customFormat="false" ht="29.85" hidden="false" customHeight="false" outlineLevel="0" collapsed="false">
      <c r="A41" s="27" t="s">
        <v>555</v>
      </c>
      <c r="B41" s="28" t="s">
        <v>67</v>
      </c>
      <c r="C41" s="28" t="s">
        <v>121</v>
      </c>
      <c r="D41" s="29" t="s">
        <v>123</v>
      </c>
      <c r="E41" s="28" t="s">
        <v>67</v>
      </c>
      <c r="F41" s="27" t="s">
        <v>19</v>
      </c>
      <c r="G41" s="28" t="s">
        <v>67</v>
      </c>
      <c r="H41" s="28" t="n">
        <v>1</v>
      </c>
      <c r="I41" s="28" t="s">
        <v>4</v>
      </c>
      <c r="J41" s="28" t="s">
        <v>120</v>
      </c>
      <c r="K41" s="30" t="s">
        <v>560</v>
      </c>
    </row>
    <row r="42" customFormat="false" ht="15" hidden="false" customHeight="false" outlineLevel="0" collapsed="false">
      <c r="A42" s="27" t="s">
        <v>555</v>
      </c>
      <c r="B42" s="28" t="s">
        <v>67</v>
      </c>
      <c r="C42" s="28" t="s">
        <v>129</v>
      </c>
      <c r="D42" s="29" t="s">
        <v>131</v>
      </c>
      <c r="E42" s="28" t="s">
        <v>67</v>
      </c>
      <c r="F42" s="27" t="s">
        <v>15</v>
      </c>
      <c r="G42" s="28" t="s">
        <v>67</v>
      </c>
      <c r="H42" s="28" t="n">
        <v>1</v>
      </c>
      <c r="I42" s="28" t="s">
        <v>4</v>
      </c>
      <c r="J42" s="28" t="s">
        <v>128</v>
      </c>
      <c r="K42" s="30" t="s">
        <v>561</v>
      </c>
    </row>
    <row r="43" customFormat="false" ht="15" hidden="false" customHeight="false" outlineLevel="0" collapsed="false">
      <c r="A43" s="27" t="s">
        <v>555</v>
      </c>
      <c r="B43" s="28" t="s">
        <v>67</v>
      </c>
      <c r="C43" s="28" t="s">
        <v>136</v>
      </c>
      <c r="D43" s="29" t="s">
        <v>138</v>
      </c>
      <c r="E43" s="28" t="s">
        <v>67</v>
      </c>
      <c r="F43" s="27" t="s">
        <v>15</v>
      </c>
      <c r="G43" s="28" t="s">
        <v>67</v>
      </c>
      <c r="H43" s="28" t="n">
        <v>1</v>
      </c>
      <c r="I43" s="28" t="s">
        <v>4</v>
      </c>
      <c r="J43" s="28" t="s">
        <v>135</v>
      </c>
      <c r="K43" s="30" t="s">
        <v>562</v>
      </c>
    </row>
    <row r="44" customFormat="false" ht="29.85" hidden="false" customHeight="false" outlineLevel="0" collapsed="false">
      <c r="A44" s="27" t="s">
        <v>555</v>
      </c>
      <c r="B44" s="28" t="s">
        <v>67</v>
      </c>
      <c r="C44" s="28" t="s">
        <v>142</v>
      </c>
      <c r="D44" s="29" t="s">
        <v>144</v>
      </c>
      <c r="E44" s="28" t="s">
        <v>67</v>
      </c>
      <c r="F44" s="27" t="s">
        <v>13</v>
      </c>
      <c r="G44" s="28" t="s">
        <v>67</v>
      </c>
      <c r="H44" s="28" t="n">
        <v>1</v>
      </c>
      <c r="I44" s="28" t="s">
        <v>4</v>
      </c>
      <c r="J44" s="28" t="s">
        <v>141</v>
      </c>
      <c r="K44" s="30" t="s">
        <v>563</v>
      </c>
    </row>
    <row r="45" customFormat="false" ht="15" hidden="false" customHeight="false" outlineLevel="0" collapsed="false">
      <c r="A45" s="27" t="s">
        <v>555</v>
      </c>
      <c r="B45" s="28" t="s">
        <v>67</v>
      </c>
      <c r="C45" s="28" t="s">
        <v>371</v>
      </c>
      <c r="D45" s="29" t="s">
        <v>373</v>
      </c>
      <c r="E45" s="28" t="s">
        <v>67</v>
      </c>
      <c r="F45" s="27" t="s">
        <v>17</v>
      </c>
      <c r="G45" s="28" t="s">
        <v>67</v>
      </c>
      <c r="H45" s="28" t="n">
        <v>1</v>
      </c>
      <c r="I45" s="28" t="s">
        <v>6</v>
      </c>
      <c r="J45" s="28" t="s">
        <v>370</v>
      </c>
      <c r="K45" s="30" t="s">
        <v>564</v>
      </c>
    </row>
    <row r="46" customFormat="false" ht="15" hidden="false" customHeight="false" outlineLevel="0" collapsed="false">
      <c r="A46" s="27" t="s">
        <v>555</v>
      </c>
      <c r="B46" s="28" t="s">
        <v>67</v>
      </c>
      <c r="C46" s="28" t="s">
        <v>152</v>
      </c>
      <c r="D46" s="29" t="s">
        <v>154</v>
      </c>
      <c r="E46" s="28" t="s">
        <v>67</v>
      </c>
      <c r="F46" s="27" t="s">
        <v>13</v>
      </c>
      <c r="G46" s="28" t="s">
        <v>67</v>
      </c>
      <c r="H46" s="28" t="n">
        <v>1</v>
      </c>
      <c r="I46" s="28" t="s">
        <v>4</v>
      </c>
      <c r="J46" s="28" t="s">
        <v>151</v>
      </c>
      <c r="K46" s="30" t="s">
        <v>565</v>
      </c>
    </row>
    <row r="47" customFormat="false" ht="15" hidden="false" customHeight="false" outlineLevel="0" collapsed="false">
      <c r="A47" s="27" t="s">
        <v>555</v>
      </c>
      <c r="B47" s="28" t="s">
        <v>67</v>
      </c>
      <c r="C47" s="28" t="s">
        <v>386</v>
      </c>
      <c r="D47" s="29" t="s">
        <v>388</v>
      </c>
      <c r="E47" s="28" t="s">
        <v>67</v>
      </c>
      <c r="F47" s="27" t="s">
        <v>17</v>
      </c>
      <c r="G47" s="28" t="s">
        <v>67</v>
      </c>
      <c r="H47" s="28" t="n">
        <v>1</v>
      </c>
      <c r="I47" s="28" t="s">
        <v>6</v>
      </c>
      <c r="J47" s="28" t="s">
        <v>385</v>
      </c>
      <c r="K47" s="30" t="s">
        <v>566</v>
      </c>
    </row>
    <row r="48" customFormat="false" ht="15" hidden="false" customHeight="false" outlineLevel="0" collapsed="false">
      <c r="A48" s="27" t="s">
        <v>555</v>
      </c>
      <c r="B48" s="28" t="s">
        <v>67</v>
      </c>
      <c r="C48" s="28" t="s">
        <v>161</v>
      </c>
      <c r="D48" s="29" t="s">
        <v>163</v>
      </c>
      <c r="E48" s="28" t="s">
        <v>67</v>
      </c>
      <c r="F48" s="27" t="s">
        <v>13</v>
      </c>
      <c r="G48" s="28" t="s">
        <v>67</v>
      </c>
      <c r="H48" s="28" t="n">
        <v>1</v>
      </c>
      <c r="I48" s="28" t="s">
        <v>4</v>
      </c>
      <c r="J48" s="28" t="s">
        <v>160</v>
      </c>
      <c r="K48" s="30" t="s">
        <v>567</v>
      </c>
    </row>
    <row r="49" customFormat="false" ht="15" hidden="false" customHeight="false" outlineLevel="0" collapsed="false">
      <c r="A49" s="27" t="s">
        <v>555</v>
      </c>
      <c r="B49" s="28" t="s">
        <v>67</v>
      </c>
      <c r="C49" s="28" t="s">
        <v>392</v>
      </c>
      <c r="D49" s="29" t="s">
        <v>394</v>
      </c>
      <c r="E49" s="28" t="s">
        <v>67</v>
      </c>
      <c r="F49" s="27" t="s">
        <v>13</v>
      </c>
      <c r="G49" s="28" t="s">
        <v>67</v>
      </c>
      <c r="H49" s="28" t="n">
        <v>1</v>
      </c>
      <c r="I49" s="28" t="s">
        <v>6</v>
      </c>
      <c r="J49" s="28" t="s">
        <v>391</v>
      </c>
      <c r="K49" s="30" t="s">
        <v>568</v>
      </c>
    </row>
    <row r="50" customFormat="false" ht="29.85" hidden="false" customHeight="false" outlineLevel="0" collapsed="false">
      <c r="A50" s="27" t="s">
        <v>555</v>
      </c>
      <c r="B50" s="28" t="s">
        <v>67</v>
      </c>
      <c r="C50" s="28" t="s">
        <v>176</v>
      </c>
      <c r="D50" s="30" t="s">
        <v>178</v>
      </c>
      <c r="E50" s="28" t="s">
        <v>67</v>
      </c>
      <c r="F50" s="27" t="s">
        <v>13</v>
      </c>
      <c r="G50" s="28" t="s">
        <v>67</v>
      </c>
      <c r="H50" s="28" t="n">
        <v>1</v>
      </c>
      <c r="I50" s="28" t="s">
        <v>4</v>
      </c>
      <c r="J50" s="28" t="s">
        <v>175</v>
      </c>
      <c r="K50" s="30" t="s">
        <v>569</v>
      </c>
    </row>
    <row r="51" customFormat="false" ht="15" hidden="false" customHeight="false" outlineLevel="0" collapsed="false">
      <c r="A51" s="27" t="s">
        <v>555</v>
      </c>
      <c r="B51" s="28" t="s">
        <v>67</v>
      </c>
      <c r="C51" s="28" t="s">
        <v>399</v>
      </c>
      <c r="D51" s="29" t="s">
        <v>401</v>
      </c>
      <c r="E51" s="28" t="s">
        <v>67</v>
      </c>
      <c r="F51" s="27" t="s">
        <v>13</v>
      </c>
      <c r="G51" s="28" t="s">
        <v>67</v>
      </c>
      <c r="H51" s="28" t="n">
        <v>1</v>
      </c>
      <c r="I51" s="28" t="s">
        <v>6</v>
      </c>
      <c r="J51" s="28" t="s">
        <v>398</v>
      </c>
      <c r="K51" s="30" t="s">
        <v>570</v>
      </c>
    </row>
    <row r="52" customFormat="false" ht="15" hidden="false" customHeight="false" outlineLevel="0" collapsed="false">
      <c r="A52" s="27" t="s">
        <v>555</v>
      </c>
      <c r="B52" s="28" t="s">
        <v>67</v>
      </c>
      <c r="C52" s="28" t="s">
        <v>421</v>
      </c>
      <c r="D52" s="29" t="s">
        <v>423</v>
      </c>
      <c r="E52" s="28" t="s">
        <v>67</v>
      </c>
      <c r="F52" s="27" t="s">
        <v>13</v>
      </c>
      <c r="G52" s="28" t="s">
        <v>67</v>
      </c>
      <c r="H52" s="28" t="n">
        <v>1</v>
      </c>
      <c r="I52" s="28" t="s">
        <v>6</v>
      </c>
      <c r="J52" s="28" t="s">
        <v>420</v>
      </c>
      <c r="K52" s="30" t="s">
        <v>571</v>
      </c>
    </row>
    <row r="53" customFormat="false" ht="15" hidden="false" customHeight="false" outlineLevel="0" collapsed="false">
      <c r="A53" s="27" t="s">
        <v>555</v>
      </c>
      <c r="B53" s="28" t="s">
        <v>67</v>
      </c>
      <c r="C53" s="28" t="s">
        <v>436</v>
      </c>
      <c r="D53" s="29" t="s">
        <v>438</v>
      </c>
      <c r="E53" s="28" t="s">
        <v>67</v>
      </c>
      <c r="F53" s="27" t="s">
        <v>13</v>
      </c>
      <c r="G53" s="28" t="s">
        <v>67</v>
      </c>
      <c r="H53" s="28" t="n">
        <v>1</v>
      </c>
      <c r="I53" s="28" t="s">
        <v>6</v>
      </c>
      <c r="J53" s="28" t="s">
        <v>435</v>
      </c>
      <c r="K53" s="30" t="s">
        <v>572</v>
      </c>
    </row>
    <row r="54" customFormat="false" ht="29.85" hidden="false" customHeight="false" outlineLevel="0" collapsed="false">
      <c r="A54" s="31" t="s">
        <v>573</v>
      </c>
      <c r="B54" s="32" t="s">
        <v>574</v>
      </c>
      <c r="C54" s="32" t="s">
        <v>575</v>
      </c>
      <c r="D54" s="33" t="s">
        <v>576</v>
      </c>
      <c r="E54" s="31" t="s">
        <v>13</v>
      </c>
      <c r="F54" s="32" t="s">
        <v>67</v>
      </c>
      <c r="G54" s="32" t="n">
        <v>0</v>
      </c>
      <c r="H54" s="32" t="s">
        <v>67</v>
      </c>
      <c r="I54" s="32" t="s">
        <v>67</v>
      </c>
      <c r="J54" s="32" t="s">
        <v>67</v>
      </c>
      <c r="K54" s="33" t="s">
        <v>577</v>
      </c>
    </row>
    <row r="55" customFormat="false" ht="29.85" hidden="false" customHeight="false" outlineLevel="0" collapsed="false">
      <c r="A55" s="31" t="s">
        <v>573</v>
      </c>
      <c r="B55" s="32" t="s">
        <v>578</v>
      </c>
      <c r="C55" s="32" t="s">
        <v>89</v>
      </c>
      <c r="D55" s="34" t="s">
        <v>579</v>
      </c>
      <c r="E55" s="31" t="s">
        <v>13</v>
      </c>
      <c r="F55" s="32" t="s">
        <v>67</v>
      </c>
      <c r="G55" s="32" t="n">
        <v>-1</v>
      </c>
      <c r="H55" s="32" t="s">
        <v>67</v>
      </c>
      <c r="I55" s="32" t="s">
        <v>67</v>
      </c>
      <c r="J55" s="32" t="s">
        <v>67</v>
      </c>
      <c r="K55" s="33" t="s">
        <v>580</v>
      </c>
    </row>
    <row r="56" customFormat="false" ht="15" hidden="false" customHeight="false" outlineLevel="0" collapsed="false">
      <c r="A56" s="31" t="s">
        <v>573</v>
      </c>
      <c r="B56" s="32" t="s">
        <v>581</v>
      </c>
      <c r="C56" s="32" t="s">
        <v>582</v>
      </c>
      <c r="D56" s="34" t="s">
        <v>583</v>
      </c>
      <c r="E56" s="31" t="s">
        <v>17</v>
      </c>
      <c r="F56" s="32" t="s">
        <v>67</v>
      </c>
      <c r="G56" s="32" t="n">
        <v>1</v>
      </c>
      <c r="H56" s="32" t="s">
        <v>67</v>
      </c>
      <c r="I56" s="32" t="s">
        <v>67</v>
      </c>
      <c r="J56" s="32" t="s">
        <v>67</v>
      </c>
      <c r="K56" s="33" t="s">
        <v>584</v>
      </c>
    </row>
    <row r="57" customFormat="false" ht="15" hidden="false" customHeight="false" outlineLevel="0" collapsed="false">
      <c r="A57" s="31" t="s">
        <v>573</v>
      </c>
      <c r="B57" s="32" t="s">
        <v>585</v>
      </c>
      <c r="C57" s="32" t="s">
        <v>586</v>
      </c>
      <c r="D57" s="34" t="s">
        <v>587</v>
      </c>
      <c r="E57" s="31" t="s">
        <v>17</v>
      </c>
      <c r="F57" s="32" t="s">
        <v>67</v>
      </c>
      <c r="G57" s="32" t="n">
        <v>1</v>
      </c>
      <c r="H57" s="32" t="s">
        <v>67</v>
      </c>
      <c r="I57" s="32" t="s">
        <v>67</v>
      </c>
      <c r="J57" s="32" t="s">
        <v>67</v>
      </c>
      <c r="K57" s="33" t="s">
        <v>588</v>
      </c>
    </row>
    <row r="58" customFormat="false" ht="15" hidden="false" customHeight="false" outlineLevel="0" collapsed="false">
      <c r="A58" s="31" t="s">
        <v>573</v>
      </c>
      <c r="B58" s="32" t="s">
        <v>589</v>
      </c>
      <c r="C58" s="32" t="s">
        <v>590</v>
      </c>
      <c r="D58" s="34" t="s">
        <v>591</v>
      </c>
      <c r="E58" s="31" t="s">
        <v>17</v>
      </c>
      <c r="F58" s="32" t="s">
        <v>67</v>
      </c>
      <c r="G58" s="32" t="n">
        <v>1</v>
      </c>
      <c r="H58" s="32" t="s">
        <v>67</v>
      </c>
      <c r="I58" s="32" t="s">
        <v>67</v>
      </c>
      <c r="J58" s="32" t="s">
        <v>67</v>
      </c>
      <c r="K58" s="33" t="s">
        <v>592</v>
      </c>
    </row>
    <row r="59" customFormat="false" ht="15" hidden="false" customHeight="false" outlineLevel="0" collapsed="false">
      <c r="A59" s="31" t="s">
        <v>573</v>
      </c>
      <c r="B59" s="32" t="s">
        <v>593</v>
      </c>
      <c r="C59" s="32" t="s">
        <v>594</v>
      </c>
      <c r="D59" s="34" t="s">
        <v>595</v>
      </c>
      <c r="E59" s="31" t="s">
        <v>17</v>
      </c>
      <c r="F59" s="32" t="s">
        <v>67</v>
      </c>
      <c r="G59" s="32" t="n">
        <v>1</v>
      </c>
      <c r="H59" s="32" t="s">
        <v>67</v>
      </c>
      <c r="I59" s="32" t="s">
        <v>67</v>
      </c>
      <c r="J59" s="32" t="s">
        <v>67</v>
      </c>
      <c r="K59" s="33" t="s">
        <v>596</v>
      </c>
    </row>
    <row r="60" customFormat="false" ht="29.85" hidden="false" customHeight="false" outlineLevel="0" collapsed="false">
      <c r="A60" s="35" t="s">
        <v>597</v>
      </c>
      <c r="B60" s="36" t="s">
        <v>67</v>
      </c>
      <c r="C60" s="36" t="s">
        <v>598</v>
      </c>
      <c r="D60" s="37" t="s">
        <v>599</v>
      </c>
      <c r="E60" s="36" t="s">
        <v>67</v>
      </c>
      <c r="F60" s="36" t="s">
        <v>67</v>
      </c>
      <c r="G60" s="36" t="s">
        <v>67</v>
      </c>
      <c r="H60" s="36" t="s">
        <v>67</v>
      </c>
      <c r="I60" s="36" t="s">
        <v>67</v>
      </c>
      <c r="J60" s="36" t="s">
        <v>67</v>
      </c>
      <c r="K60" s="38" t="s">
        <v>600</v>
      </c>
    </row>
    <row r="61" customFormat="false" ht="29.85" hidden="false" customHeight="false" outlineLevel="0" collapsed="false">
      <c r="A61" s="35" t="s">
        <v>597</v>
      </c>
      <c r="B61" s="36" t="s">
        <v>67</v>
      </c>
      <c r="C61" s="36" t="s">
        <v>601</v>
      </c>
      <c r="D61" s="37" t="s">
        <v>602</v>
      </c>
      <c r="E61" s="36" t="s">
        <v>67</v>
      </c>
      <c r="F61" s="36" t="s">
        <v>67</v>
      </c>
      <c r="G61" s="36" t="s">
        <v>67</v>
      </c>
      <c r="H61" s="36" t="s">
        <v>67</v>
      </c>
      <c r="I61" s="36" t="s">
        <v>67</v>
      </c>
      <c r="J61" s="36" t="s">
        <v>67</v>
      </c>
      <c r="K61" s="38" t="s">
        <v>600</v>
      </c>
    </row>
    <row r="62" customFormat="false" ht="29.85" hidden="false" customHeight="false" outlineLevel="0" collapsed="false">
      <c r="A62" s="35" t="s">
        <v>597</v>
      </c>
      <c r="B62" s="36" t="s">
        <v>67</v>
      </c>
      <c r="C62" s="36" t="s">
        <v>603</v>
      </c>
      <c r="D62" s="37" t="s">
        <v>604</v>
      </c>
      <c r="E62" s="36" t="s">
        <v>67</v>
      </c>
      <c r="F62" s="36" t="s">
        <v>67</v>
      </c>
      <c r="G62" s="36" t="s">
        <v>67</v>
      </c>
      <c r="H62" s="36" t="s">
        <v>67</v>
      </c>
      <c r="I62" s="36" t="s">
        <v>67</v>
      </c>
      <c r="J62" s="36" t="s">
        <v>67</v>
      </c>
      <c r="K62" s="38" t="s">
        <v>600</v>
      </c>
    </row>
    <row r="63" customFormat="false" ht="29.85" hidden="false" customHeight="false" outlineLevel="0" collapsed="false">
      <c r="A63" s="35" t="s">
        <v>597</v>
      </c>
      <c r="B63" s="36" t="s">
        <v>67</v>
      </c>
      <c r="C63" s="36" t="s">
        <v>605</v>
      </c>
      <c r="D63" s="37" t="s">
        <v>606</v>
      </c>
      <c r="E63" s="36" t="s">
        <v>67</v>
      </c>
      <c r="F63" s="36" t="s">
        <v>67</v>
      </c>
      <c r="G63" s="36" t="s">
        <v>67</v>
      </c>
      <c r="H63" s="36" t="s">
        <v>67</v>
      </c>
      <c r="I63" s="36" t="s">
        <v>67</v>
      </c>
      <c r="J63" s="36" t="s">
        <v>67</v>
      </c>
      <c r="K63" s="38" t="s">
        <v>600</v>
      </c>
    </row>
    <row r="64" customFormat="false" ht="29.85" hidden="false" customHeight="false" outlineLevel="0" collapsed="false">
      <c r="A64" s="35" t="s">
        <v>597</v>
      </c>
      <c r="B64" s="36" t="s">
        <v>67</v>
      </c>
      <c r="C64" s="36" t="s">
        <v>607</v>
      </c>
      <c r="D64" s="37" t="s">
        <v>608</v>
      </c>
      <c r="E64" s="36" t="s">
        <v>67</v>
      </c>
      <c r="F64" s="36" t="s">
        <v>67</v>
      </c>
      <c r="G64" s="36" t="s">
        <v>67</v>
      </c>
      <c r="H64" s="36" t="s">
        <v>67</v>
      </c>
      <c r="I64" s="36" t="s">
        <v>67</v>
      </c>
      <c r="J64" s="36" t="s">
        <v>67</v>
      </c>
      <c r="K64" s="38" t="s">
        <v>600</v>
      </c>
    </row>
    <row r="65" customFormat="false" ht="29.85" hidden="false" customHeight="false" outlineLevel="0" collapsed="false">
      <c r="A65" s="35" t="s">
        <v>597</v>
      </c>
      <c r="B65" s="36" t="s">
        <v>67</v>
      </c>
      <c r="C65" s="36" t="s">
        <v>609</v>
      </c>
      <c r="D65" s="37" t="s">
        <v>610</v>
      </c>
      <c r="E65" s="36" t="s">
        <v>67</v>
      </c>
      <c r="F65" s="36" t="s">
        <v>67</v>
      </c>
      <c r="G65" s="36" t="s">
        <v>67</v>
      </c>
      <c r="H65" s="36" t="s">
        <v>67</v>
      </c>
      <c r="I65" s="36" t="s">
        <v>67</v>
      </c>
      <c r="J65" s="36" t="s">
        <v>67</v>
      </c>
      <c r="K65" s="38" t="s">
        <v>600</v>
      </c>
    </row>
    <row r="66" customFormat="false" ht="29.85" hidden="false" customHeight="false" outlineLevel="0" collapsed="false">
      <c r="A66" s="35" t="s">
        <v>597</v>
      </c>
      <c r="B66" s="36" t="s">
        <v>67</v>
      </c>
      <c r="C66" s="36" t="s">
        <v>611</v>
      </c>
      <c r="D66" s="37" t="s">
        <v>612</v>
      </c>
      <c r="E66" s="36" t="s">
        <v>67</v>
      </c>
      <c r="F66" s="36" t="s">
        <v>67</v>
      </c>
      <c r="G66" s="36" t="s">
        <v>67</v>
      </c>
      <c r="H66" s="36" t="s">
        <v>67</v>
      </c>
      <c r="I66" s="36" t="s">
        <v>67</v>
      </c>
      <c r="J66" s="36" t="s">
        <v>67</v>
      </c>
      <c r="K66" s="38" t="s">
        <v>600</v>
      </c>
    </row>
    <row r="67" customFormat="false" ht="29.85" hidden="false" customHeight="false" outlineLevel="0" collapsed="false">
      <c r="A67" s="35" t="s">
        <v>597</v>
      </c>
      <c r="B67" s="36" t="s">
        <v>67</v>
      </c>
      <c r="C67" s="36" t="s">
        <v>613</v>
      </c>
      <c r="D67" s="38" t="s">
        <v>614</v>
      </c>
      <c r="E67" s="36" t="s">
        <v>67</v>
      </c>
      <c r="F67" s="36" t="s">
        <v>67</v>
      </c>
      <c r="G67" s="36" t="s">
        <v>67</v>
      </c>
      <c r="H67" s="36" t="s">
        <v>67</v>
      </c>
      <c r="I67" s="36" t="s">
        <v>67</v>
      </c>
      <c r="J67" s="36" t="s">
        <v>67</v>
      </c>
      <c r="K67" s="38" t="s">
        <v>600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2026-10-12T06:08:32Z</dcterms:created>
  <dc:creator>openpyxl</dc:creator>
  <dc:description/>
  <dc:language>en-US</dc:language>
  <cp:lastModifiedBy/>
  <dcterms:modified xsi:type="dcterms:W3CDTF">2026-10-12T06:08:32Z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